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I:\2026 Accounting Files\TAXES\PAYE\September\"/>
    </mc:Choice>
  </mc:AlternateContent>
  <xr:revisionPtr revIDLastSave="0" documentId="8_{434AF869-B30A-4520-8F33-FB8CE8BB0CB7}" xr6:coauthVersionLast="47" xr6:coauthVersionMax="47" xr10:uidLastSave="{00000000-0000-0000-0000-000000000000}"/>
  <workbookProtection workbookAlgorithmName="SHA-512" workbookHashValue="43UsSW/c7AufawC4gVGPg9UY8I8hbVIGiDzMOeQuYr4aSYcc8HKJgQ5Oeg9XMJkJPHNdVdPFnNJ/DHma9wbDug==" workbookSaltValue="cF9R4DCb3hUKgfo3QOhOqg==" workbookSpinCount="100000" lockStructure="1"/>
  <bookViews>
    <workbookView xWindow="-28920" yWindow="-120" windowWidth="29040" windowHeight="15720" xr2:uid="{FACB5736-4131-4AE6-998D-ADB3C16CB2E3}"/>
  </bookViews>
  <sheets>
    <sheet name="Employee Details" sheetId="1" r:id="rId1"/>
    <sheet name="Config" sheetId="4" state="veryHidden" r:id="rId2"/>
  </sheets>
  <definedNames>
    <definedName name="Config_AcceptTinOrName">Config!$A$20</definedName>
    <definedName name="Config_TaxTypeCode">Config!$G$3</definedName>
    <definedName name="Config_Template_Revision">Config!$G$2</definedName>
    <definedName name="Lookup_Periods">Config!$C$2:$C$13</definedName>
    <definedName name="Lookup_Periods_Codes">Config!$C$2:$D$13</definedName>
    <definedName name="Lookup_Years">Config!$A$2:$A$8</definedName>
    <definedName name="Lookup_YesNo">Config!$E$2:$E$3</definedName>
    <definedName name="PAYE_Schedule_Headers">Config!$A$16:$I$17</definedName>
    <definedName name="Submission_Period">'Employee Details'!$C$16</definedName>
    <definedName name="Submission_Submitter_Address">'Employee Details'!$C$12</definedName>
    <definedName name="Submission_Submitter_Name">'Employee Details'!$C$10</definedName>
    <definedName name="Submission_Submitter_TIN">'Employee Details'!$C$8</definedName>
    <definedName name="Submission_Year">'Employee Details'!$C$14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4" l="1"/>
  <c r="H16" i="4"/>
  <c r="G16" i="4"/>
  <c r="F16" i="4"/>
  <c r="E16" i="4"/>
  <c r="D16" i="4"/>
  <c r="C16" i="4"/>
  <c r="B16" i="4"/>
  <c r="A16" i="4"/>
  <c r="V234" i="1"/>
  <c r="U234" i="1"/>
  <c r="T234" i="1"/>
  <c r="S234" i="1"/>
  <c r="R234" i="1"/>
  <c r="X234" i="1" s="1"/>
  <c r="Q234" i="1"/>
  <c r="P234" i="1"/>
  <c r="O234" i="1"/>
  <c r="N234" i="1"/>
  <c r="M234" i="1"/>
  <c r="V233" i="1"/>
  <c r="U233" i="1"/>
  <c r="T233" i="1"/>
  <c r="S233" i="1"/>
  <c r="R233" i="1"/>
  <c r="Q233" i="1"/>
  <c r="O233" i="1"/>
  <c r="P233" i="1" s="1"/>
  <c r="X233" i="1" s="1"/>
  <c r="N233" i="1"/>
  <c r="M233" i="1"/>
  <c r="V232" i="1"/>
  <c r="U232" i="1"/>
  <c r="T232" i="1"/>
  <c r="S232" i="1"/>
  <c r="R232" i="1"/>
  <c r="Q232" i="1"/>
  <c r="P232" i="1"/>
  <c r="X232" i="1" s="1"/>
  <c r="O232" i="1"/>
  <c r="N232" i="1"/>
  <c r="M232" i="1"/>
  <c r="V231" i="1"/>
  <c r="U231" i="1"/>
  <c r="T231" i="1"/>
  <c r="S231" i="1"/>
  <c r="R231" i="1"/>
  <c r="Q231" i="1"/>
  <c r="O231" i="1"/>
  <c r="P231" i="1" s="1"/>
  <c r="X231" i="1" s="1"/>
  <c r="N231" i="1"/>
  <c r="M231" i="1"/>
  <c r="V230" i="1"/>
  <c r="U230" i="1"/>
  <c r="T230" i="1"/>
  <c r="S230" i="1"/>
  <c r="R230" i="1"/>
  <c r="Q230" i="1"/>
  <c r="O230" i="1"/>
  <c r="P230" i="1" s="1"/>
  <c r="X230" i="1" s="1"/>
  <c r="N230" i="1"/>
  <c r="M230" i="1"/>
  <c r="V229" i="1"/>
  <c r="U229" i="1"/>
  <c r="T229" i="1"/>
  <c r="S229" i="1"/>
  <c r="R229" i="1"/>
  <c r="Q229" i="1"/>
  <c r="O229" i="1"/>
  <c r="P229" i="1" s="1"/>
  <c r="X229" i="1" s="1"/>
  <c r="N229" i="1"/>
  <c r="M229" i="1"/>
  <c r="V228" i="1"/>
  <c r="U228" i="1"/>
  <c r="T228" i="1"/>
  <c r="S228" i="1"/>
  <c r="R228" i="1"/>
  <c r="Q228" i="1"/>
  <c r="P228" i="1"/>
  <c r="X228" i="1" s="1"/>
  <c r="O228" i="1"/>
  <c r="N228" i="1"/>
  <c r="M228" i="1"/>
  <c r="X227" i="1"/>
  <c r="V227" i="1"/>
  <c r="U227" i="1"/>
  <c r="T227" i="1"/>
  <c r="S227" i="1"/>
  <c r="R227" i="1"/>
  <c r="Q227" i="1"/>
  <c r="P227" i="1"/>
  <c r="O227" i="1"/>
  <c r="N227" i="1"/>
  <c r="M227" i="1"/>
  <c r="V226" i="1"/>
  <c r="U226" i="1"/>
  <c r="T226" i="1"/>
  <c r="S226" i="1"/>
  <c r="R226" i="1"/>
  <c r="Q226" i="1"/>
  <c r="O226" i="1"/>
  <c r="P226" i="1" s="1"/>
  <c r="X226" i="1" s="1"/>
  <c r="N226" i="1"/>
  <c r="M226" i="1"/>
  <c r="V225" i="1"/>
  <c r="U225" i="1"/>
  <c r="T225" i="1"/>
  <c r="S225" i="1"/>
  <c r="R225" i="1"/>
  <c r="Q225" i="1"/>
  <c r="O225" i="1"/>
  <c r="N225" i="1"/>
  <c r="P225" i="1" s="1"/>
  <c r="X225" i="1" s="1"/>
  <c r="M225" i="1"/>
  <c r="V224" i="1"/>
  <c r="U224" i="1"/>
  <c r="T224" i="1"/>
  <c r="S224" i="1"/>
  <c r="R224" i="1"/>
  <c r="Q224" i="1"/>
  <c r="O224" i="1"/>
  <c r="P224" i="1" s="1"/>
  <c r="X224" i="1" s="1"/>
  <c r="N224" i="1"/>
  <c r="M224" i="1"/>
  <c r="V223" i="1"/>
  <c r="U223" i="1"/>
  <c r="T223" i="1"/>
  <c r="S223" i="1"/>
  <c r="R223" i="1"/>
  <c r="Q223" i="1"/>
  <c r="O223" i="1"/>
  <c r="P223" i="1" s="1"/>
  <c r="X223" i="1" s="1"/>
  <c r="N223" i="1"/>
  <c r="M223" i="1"/>
  <c r="V222" i="1"/>
  <c r="U222" i="1"/>
  <c r="T222" i="1"/>
  <c r="S222" i="1"/>
  <c r="R222" i="1"/>
  <c r="X222" i="1" s="1"/>
  <c r="Q222" i="1"/>
  <c r="P222" i="1"/>
  <c r="O222" i="1"/>
  <c r="N222" i="1"/>
  <c r="M222" i="1"/>
  <c r="V221" i="1"/>
  <c r="U221" i="1"/>
  <c r="T221" i="1"/>
  <c r="S221" i="1"/>
  <c r="R221" i="1"/>
  <c r="Q221" i="1"/>
  <c r="O221" i="1"/>
  <c r="P221" i="1" s="1"/>
  <c r="X221" i="1" s="1"/>
  <c r="N221" i="1"/>
  <c r="M221" i="1"/>
  <c r="V220" i="1"/>
  <c r="U220" i="1"/>
  <c r="T220" i="1"/>
  <c r="S220" i="1"/>
  <c r="R220" i="1"/>
  <c r="Q220" i="1"/>
  <c r="P220" i="1"/>
  <c r="X220" i="1" s="1"/>
  <c r="O220" i="1"/>
  <c r="N220" i="1"/>
  <c r="M220" i="1"/>
  <c r="V219" i="1"/>
  <c r="U219" i="1"/>
  <c r="T219" i="1"/>
  <c r="S219" i="1"/>
  <c r="R219" i="1"/>
  <c r="Q219" i="1"/>
  <c r="O219" i="1"/>
  <c r="P219" i="1" s="1"/>
  <c r="X219" i="1" s="1"/>
  <c r="N219" i="1"/>
  <c r="M219" i="1"/>
  <c r="V218" i="1"/>
  <c r="U218" i="1"/>
  <c r="T218" i="1"/>
  <c r="S218" i="1"/>
  <c r="R218" i="1"/>
  <c r="Q218" i="1"/>
  <c r="O218" i="1"/>
  <c r="P218" i="1" s="1"/>
  <c r="X218" i="1" s="1"/>
  <c r="N218" i="1"/>
  <c r="M218" i="1"/>
  <c r="V217" i="1"/>
  <c r="U217" i="1"/>
  <c r="T217" i="1"/>
  <c r="S217" i="1"/>
  <c r="R217" i="1"/>
  <c r="Q217" i="1"/>
  <c r="O217" i="1"/>
  <c r="P217" i="1" s="1"/>
  <c r="X217" i="1" s="1"/>
  <c r="N217" i="1"/>
  <c r="M217" i="1"/>
  <c r="V216" i="1"/>
  <c r="U216" i="1"/>
  <c r="T216" i="1"/>
  <c r="S216" i="1"/>
  <c r="R216" i="1"/>
  <c r="Q216" i="1"/>
  <c r="P216" i="1"/>
  <c r="X216" i="1" s="1"/>
  <c r="O216" i="1"/>
  <c r="N216" i="1"/>
  <c r="M216" i="1"/>
  <c r="X215" i="1"/>
  <c r="V215" i="1"/>
  <c r="U215" i="1"/>
  <c r="T215" i="1"/>
  <c r="S215" i="1"/>
  <c r="R215" i="1"/>
  <c r="Q215" i="1"/>
  <c r="P215" i="1"/>
  <c r="O215" i="1"/>
  <c r="N215" i="1"/>
  <c r="M215" i="1"/>
  <c r="V214" i="1"/>
  <c r="U214" i="1"/>
  <c r="T214" i="1"/>
  <c r="S214" i="1"/>
  <c r="R214" i="1"/>
  <c r="Q214" i="1"/>
  <c r="O214" i="1"/>
  <c r="P214" i="1" s="1"/>
  <c r="X214" i="1" s="1"/>
  <c r="N214" i="1"/>
  <c r="M214" i="1"/>
  <c r="V213" i="1"/>
  <c r="U213" i="1"/>
  <c r="T213" i="1"/>
  <c r="S213" i="1"/>
  <c r="R213" i="1"/>
  <c r="Q213" i="1"/>
  <c r="O213" i="1"/>
  <c r="N213" i="1"/>
  <c r="P213" i="1" s="1"/>
  <c r="X213" i="1" s="1"/>
  <c r="M213" i="1"/>
  <c r="V212" i="1"/>
  <c r="U212" i="1"/>
  <c r="T212" i="1"/>
  <c r="S212" i="1"/>
  <c r="R212" i="1"/>
  <c r="Q212" i="1"/>
  <c r="O212" i="1"/>
  <c r="P212" i="1" s="1"/>
  <c r="X212" i="1" s="1"/>
  <c r="N212" i="1"/>
  <c r="M212" i="1"/>
  <c r="V211" i="1"/>
  <c r="U211" i="1"/>
  <c r="T211" i="1"/>
  <c r="S211" i="1"/>
  <c r="R211" i="1"/>
  <c r="Q211" i="1"/>
  <c r="O211" i="1"/>
  <c r="P211" i="1" s="1"/>
  <c r="X211" i="1" s="1"/>
  <c r="N211" i="1"/>
  <c r="M211" i="1"/>
  <c r="V210" i="1"/>
  <c r="U210" i="1"/>
  <c r="T210" i="1"/>
  <c r="S210" i="1"/>
  <c r="R210" i="1"/>
  <c r="X210" i="1" s="1"/>
  <c r="Q210" i="1"/>
  <c r="P210" i="1"/>
  <c r="O210" i="1"/>
  <c r="N210" i="1"/>
  <c r="M210" i="1"/>
  <c r="V209" i="1"/>
  <c r="U209" i="1"/>
  <c r="T209" i="1"/>
  <c r="S209" i="1"/>
  <c r="R209" i="1"/>
  <c r="Q209" i="1"/>
  <c r="O209" i="1"/>
  <c r="P209" i="1" s="1"/>
  <c r="X209" i="1" s="1"/>
  <c r="N209" i="1"/>
  <c r="M209" i="1"/>
  <c r="V208" i="1"/>
  <c r="U208" i="1"/>
  <c r="T208" i="1"/>
  <c r="S208" i="1"/>
  <c r="R208" i="1"/>
  <c r="Q208" i="1"/>
  <c r="P208" i="1"/>
  <c r="X208" i="1" s="1"/>
  <c r="O208" i="1"/>
  <c r="N208" i="1"/>
  <c r="M208" i="1"/>
  <c r="V207" i="1"/>
  <c r="U207" i="1"/>
  <c r="T207" i="1"/>
  <c r="S207" i="1"/>
  <c r="R207" i="1"/>
  <c r="Q207" i="1"/>
  <c r="O207" i="1"/>
  <c r="P207" i="1" s="1"/>
  <c r="X207" i="1" s="1"/>
  <c r="N207" i="1"/>
  <c r="M207" i="1"/>
  <c r="V206" i="1"/>
  <c r="U206" i="1"/>
  <c r="T206" i="1"/>
  <c r="S206" i="1"/>
  <c r="R206" i="1"/>
  <c r="Q206" i="1"/>
  <c r="O206" i="1"/>
  <c r="P206" i="1" s="1"/>
  <c r="X206" i="1" s="1"/>
  <c r="N206" i="1"/>
  <c r="M206" i="1"/>
  <c r="V205" i="1"/>
  <c r="U205" i="1"/>
  <c r="T205" i="1"/>
  <c r="S205" i="1"/>
  <c r="R205" i="1"/>
  <c r="Q205" i="1"/>
  <c r="O205" i="1"/>
  <c r="P205" i="1" s="1"/>
  <c r="X205" i="1" s="1"/>
  <c r="N205" i="1"/>
  <c r="M205" i="1"/>
  <c r="V204" i="1"/>
  <c r="U204" i="1"/>
  <c r="T204" i="1"/>
  <c r="S204" i="1"/>
  <c r="R204" i="1"/>
  <c r="Q204" i="1"/>
  <c r="P204" i="1"/>
  <c r="X204" i="1" s="1"/>
  <c r="O204" i="1"/>
  <c r="N204" i="1"/>
  <c r="M204" i="1"/>
  <c r="X203" i="1"/>
  <c r="V203" i="1"/>
  <c r="U203" i="1"/>
  <c r="T203" i="1"/>
  <c r="S203" i="1"/>
  <c r="R203" i="1"/>
  <c r="Q203" i="1"/>
  <c r="P203" i="1"/>
  <c r="O203" i="1"/>
  <c r="N203" i="1"/>
  <c r="M203" i="1"/>
  <c r="V202" i="1"/>
  <c r="U202" i="1"/>
  <c r="T202" i="1"/>
  <c r="S202" i="1"/>
  <c r="R202" i="1"/>
  <c r="Q202" i="1"/>
  <c r="O202" i="1"/>
  <c r="P202" i="1" s="1"/>
  <c r="X202" i="1" s="1"/>
  <c r="N202" i="1"/>
  <c r="M202" i="1"/>
  <c r="V201" i="1"/>
  <c r="U201" i="1"/>
  <c r="T201" i="1"/>
  <c r="S201" i="1"/>
  <c r="R201" i="1"/>
  <c r="Q201" i="1"/>
  <c r="O201" i="1"/>
  <c r="N201" i="1"/>
  <c r="P201" i="1" s="1"/>
  <c r="X201" i="1" s="1"/>
  <c r="M201" i="1"/>
  <c r="V200" i="1"/>
  <c r="U200" i="1"/>
  <c r="T200" i="1"/>
  <c r="S200" i="1"/>
  <c r="R200" i="1"/>
  <c r="Q200" i="1"/>
  <c r="O200" i="1"/>
  <c r="P200" i="1" s="1"/>
  <c r="X200" i="1" s="1"/>
  <c r="N200" i="1"/>
  <c r="M200" i="1"/>
  <c r="V199" i="1"/>
  <c r="U199" i="1"/>
  <c r="T199" i="1"/>
  <c r="S199" i="1"/>
  <c r="R199" i="1"/>
  <c r="Q199" i="1"/>
  <c r="O199" i="1"/>
  <c r="P199" i="1" s="1"/>
  <c r="X199" i="1" s="1"/>
  <c r="N199" i="1"/>
  <c r="M199" i="1"/>
  <c r="V198" i="1"/>
  <c r="U198" i="1"/>
  <c r="T198" i="1"/>
  <c r="S198" i="1"/>
  <c r="R198" i="1"/>
  <c r="X198" i="1" s="1"/>
  <c r="Q198" i="1"/>
  <c r="P198" i="1"/>
  <c r="O198" i="1"/>
  <c r="N198" i="1"/>
  <c r="M198" i="1"/>
  <c r="V197" i="1"/>
  <c r="U197" i="1"/>
  <c r="T197" i="1"/>
  <c r="S197" i="1"/>
  <c r="R197" i="1"/>
  <c r="Q197" i="1"/>
  <c r="O197" i="1"/>
  <c r="P197" i="1" s="1"/>
  <c r="X197" i="1" s="1"/>
  <c r="N197" i="1"/>
  <c r="M197" i="1"/>
  <c r="V196" i="1"/>
  <c r="U196" i="1"/>
  <c r="T196" i="1"/>
  <c r="S196" i="1"/>
  <c r="R196" i="1"/>
  <c r="Q196" i="1"/>
  <c r="P196" i="1"/>
  <c r="X196" i="1" s="1"/>
  <c r="O196" i="1"/>
  <c r="N196" i="1"/>
  <c r="M196" i="1"/>
  <c r="V195" i="1"/>
  <c r="U195" i="1"/>
  <c r="T195" i="1"/>
  <c r="S195" i="1"/>
  <c r="R195" i="1"/>
  <c r="Q195" i="1"/>
  <c r="O195" i="1"/>
  <c r="P195" i="1" s="1"/>
  <c r="X195" i="1" s="1"/>
  <c r="N195" i="1"/>
  <c r="M195" i="1"/>
  <c r="V194" i="1"/>
  <c r="U194" i="1"/>
  <c r="T194" i="1"/>
  <c r="S194" i="1"/>
  <c r="R194" i="1"/>
  <c r="Q194" i="1"/>
  <c r="O194" i="1"/>
  <c r="P194" i="1" s="1"/>
  <c r="X194" i="1" s="1"/>
  <c r="N194" i="1"/>
  <c r="M194" i="1"/>
  <c r="V193" i="1"/>
  <c r="U193" i="1"/>
  <c r="T193" i="1"/>
  <c r="S193" i="1"/>
  <c r="R193" i="1"/>
  <c r="Q193" i="1"/>
  <c r="O193" i="1"/>
  <c r="P193" i="1" s="1"/>
  <c r="X193" i="1" s="1"/>
  <c r="N193" i="1"/>
  <c r="M193" i="1"/>
  <c r="V192" i="1"/>
  <c r="U192" i="1"/>
  <c r="T192" i="1"/>
  <c r="S192" i="1"/>
  <c r="R192" i="1"/>
  <c r="Q192" i="1"/>
  <c r="P192" i="1"/>
  <c r="X192" i="1" s="1"/>
  <c r="O192" i="1"/>
  <c r="N192" i="1"/>
  <c r="M192" i="1"/>
  <c r="X191" i="1"/>
  <c r="V191" i="1"/>
  <c r="U191" i="1"/>
  <c r="T191" i="1"/>
  <c r="S191" i="1"/>
  <c r="R191" i="1"/>
  <c r="Q191" i="1"/>
  <c r="P191" i="1"/>
  <c r="O191" i="1"/>
  <c r="N191" i="1"/>
  <c r="M191" i="1"/>
  <c r="V190" i="1"/>
  <c r="U190" i="1"/>
  <c r="T190" i="1"/>
  <c r="S190" i="1"/>
  <c r="R190" i="1"/>
  <c r="Q190" i="1"/>
  <c r="O190" i="1"/>
  <c r="P190" i="1" s="1"/>
  <c r="X190" i="1" s="1"/>
  <c r="N190" i="1"/>
  <c r="M190" i="1"/>
  <c r="V189" i="1"/>
  <c r="U189" i="1"/>
  <c r="T189" i="1"/>
  <c r="S189" i="1"/>
  <c r="R189" i="1"/>
  <c r="Q189" i="1"/>
  <c r="O189" i="1"/>
  <c r="N189" i="1"/>
  <c r="P189" i="1" s="1"/>
  <c r="X189" i="1" s="1"/>
  <c r="M189" i="1"/>
  <c r="V188" i="1"/>
  <c r="U188" i="1"/>
  <c r="T188" i="1"/>
  <c r="S188" i="1"/>
  <c r="R188" i="1"/>
  <c r="Q188" i="1"/>
  <c r="O188" i="1"/>
  <c r="P188" i="1" s="1"/>
  <c r="X188" i="1" s="1"/>
  <c r="N188" i="1"/>
  <c r="M188" i="1"/>
  <c r="V187" i="1"/>
  <c r="U187" i="1"/>
  <c r="T187" i="1"/>
  <c r="S187" i="1"/>
  <c r="R187" i="1"/>
  <c r="Q187" i="1"/>
  <c r="O187" i="1"/>
  <c r="P187" i="1" s="1"/>
  <c r="X187" i="1" s="1"/>
  <c r="N187" i="1"/>
  <c r="M187" i="1"/>
  <c r="V186" i="1"/>
  <c r="U186" i="1"/>
  <c r="T186" i="1"/>
  <c r="S186" i="1"/>
  <c r="R186" i="1"/>
  <c r="X186" i="1" s="1"/>
  <c r="Q186" i="1"/>
  <c r="P186" i="1"/>
  <c r="O186" i="1"/>
  <c r="N186" i="1"/>
  <c r="M186" i="1"/>
  <c r="V185" i="1"/>
  <c r="U185" i="1"/>
  <c r="T185" i="1"/>
  <c r="S185" i="1"/>
  <c r="R185" i="1"/>
  <c r="Q185" i="1"/>
  <c r="O185" i="1"/>
  <c r="P185" i="1" s="1"/>
  <c r="X185" i="1" s="1"/>
  <c r="N185" i="1"/>
  <c r="M185" i="1"/>
  <c r="V184" i="1"/>
  <c r="U184" i="1"/>
  <c r="T184" i="1"/>
  <c r="S184" i="1"/>
  <c r="R184" i="1"/>
  <c r="Q184" i="1"/>
  <c r="P184" i="1"/>
  <c r="X184" i="1" s="1"/>
  <c r="O184" i="1"/>
  <c r="N184" i="1"/>
  <c r="M184" i="1"/>
  <c r="V183" i="1"/>
  <c r="U183" i="1"/>
  <c r="T183" i="1"/>
  <c r="S183" i="1"/>
  <c r="R183" i="1"/>
  <c r="Q183" i="1"/>
  <c r="O183" i="1"/>
  <c r="P183" i="1" s="1"/>
  <c r="X183" i="1" s="1"/>
  <c r="N183" i="1"/>
  <c r="M183" i="1"/>
  <c r="V182" i="1"/>
  <c r="U182" i="1"/>
  <c r="T182" i="1"/>
  <c r="S182" i="1"/>
  <c r="R182" i="1"/>
  <c r="Q182" i="1"/>
  <c r="O182" i="1"/>
  <c r="P182" i="1" s="1"/>
  <c r="X182" i="1" s="1"/>
  <c r="N182" i="1"/>
  <c r="M182" i="1"/>
  <c r="V181" i="1"/>
  <c r="U181" i="1"/>
  <c r="T181" i="1"/>
  <c r="S181" i="1"/>
  <c r="R181" i="1"/>
  <c r="Q181" i="1"/>
  <c r="O181" i="1"/>
  <c r="P181" i="1" s="1"/>
  <c r="X181" i="1" s="1"/>
  <c r="N181" i="1"/>
  <c r="M181" i="1"/>
  <c r="V180" i="1"/>
  <c r="U180" i="1"/>
  <c r="T180" i="1"/>
  <c r="S180" i="1"/>
  <c r="R180" i="1"/>
  <c r="Q180" i="1"/>
  <c r="P180" i="1"/>
  <c r="X180" i="1" s="1"/>
  <c r="O180" i="1"/>
  <c r="N180" i="1"/>
  <c r="M180" i="1"/>
  <c r="X179" i="1"/>
  <c r="V179" i="1"/>
  <c r="U179" i="1"/>
  <c r="T179" i="1"/>
  <c r="S179" i="1"/>
  <c r="R179" i="1"/>
  <c r="Q179" i="1"/>
  <c r="P179" i="1"/>
  <c r="O179" i="1"/>
  <c r="N179" i="1"/>
  <c r="M179" i="1"/>
  <c r="V178" i="1"/>
  <c r="U178" i="1"/>
  <c r="T178" i="1"/>
  <c r="S178" i="1"/>
  <c r="R178" i="1"/>
  <c r="Q178" i="1"/>
  <c r="O178" i="1"/>
  <c r="P178" i="1" s="1"/>
  <c r="X178" i="1" s="1"/>
  <c r="N178" i="1"/>
  <c r="M178" i="1"/>
  <c r="V177" i="1"/>
  <c r="U177" i="1"/>
  <c r="T177" i="1"/>
  <c r="S177" i="1"/>
  <c r="R177" i="1"/>
  <c r="Q177" i="1"/>
  <c r="O177" i="1"/>
  <c r="N177" i="1"/>
  <c r="P177" i="1" s="1"/>
  <c r="X177" i="1" s="1"/>
  <c r="M177" i="1"/>
  <c r="V176" i="1"/>
  <c r="U176" i="1"/>
  <c r="T176" i="1"/>
  <c r="S176" i="1"/>
  <c r="R176" i="1"/>
  <c r="Q176" i="1"/>
  <c r="O176" i="1"/>
  <c r="P176" i="1" s="1"/>
  <c r="X176" i="1" s="1"/>
  <c r="N176" i="1"/>
  <c r="M176" i="1"/>
  <c r="V175" i="1"/>
  <c r="U175" i="1"/>
  <c r="T175" i="1"/>
  <c r="S175" i="1"/>
  <c r="R175" i="1"/>
  <c r="Q175" i="1"/>
  <c r="O175" i="1"/>
  <c r="P175" i="1" s="1"/>
  <c r="X175" i="1" s="1"/>
  <c r="N175" i="1"/>
  <c r="M175" i="1"/>
  <c r="V174" i="1"/>
  <c r="U174" i="1"/>
  <c r="T174" i="1"/>
  <c r="S174" i="1"/>
  <c r="R174" i="1"/>
  <c r="X174" i="1" s="1"/>
  <c r="Q174" i="1"/>
  <c r="P174" i="1"/>
  <c r="O174" i="1"/>
  <c r="N174" i="1"/>
  <c r="M174" i="1"/>
  <c r="V173" i="1"/>
  <c r="U173" i="1"/>
  <c r="T173" i="1"/>
  <c r="S173" i="1"/>
  <c r="R173" i="1"/>
  <c r="Q173" i="1"/>
  <c r="O173" i="1"/>
  <c r="P173" i="1" s="1"/>
  <c r="X173" i="1" s="1"/>
  <c r="N173" i="1"/>
  <c r="M173" i="1"/>
  <c r="V172" i="1"/>
  <c r="U172" i="1"/>
  <c r="T172" i="1"/>
  <c r="S172" i="1"/>
  <c r="R172" i="1"/>
  <c r="Q172" i="1"/>
  <c r="P172" i="1"/>
  <c r="X172" i="1" s="1"/>
  <c r="O172" i="1"/>
  <c r="N172" i="1"/>
  <c r="M172" i="1"/>
  <c r="V171" i="1"/>
  <c r="U171" i="1"/>
  <c r="T171" i="1"/>
  <c r="S171" i="1"/>
  <c r="R171" i="1"/>
  <c r="Q171" i="1"/>
  <c r="O171" i="1"/>
  <c r="P171" i="1" s="1"/>
  <c r="X171" i="1" s="1"/>
  <c r="N171" i="1"/>
  <c r="M171" i="1"/>
  <c r="V170" i="1"/>
  <c r="U170" i="1"/>
  <c r="T170" i="1"/>
  <c r="S170" i="1"/>
  <c r="R170" i="1"/>
  <c r="Q170" i="1"/>
  <c r="O170" i="1"/>
  <c r="P170" i="1" s="1"/>
  <c r="X170" i="1" s="1"/>
  <c r="N170" i="1"/>
  <c r="M170" i="1"/>
  <c r="V169" i="1"/>
  <c r="U169" i="1"/>
  <c r="T169" i="1"/>
  <c r="S169" i="1"/>
  <c r="R169" i="1"/>
  <c r="Q169" i="1"/>
  <c r="O169" i="1"/>
  <c r="P169" i="1" s="1"/>
  <c r="X169" i="1" s="1"/>
  <c r="N169" i="1"/>
  <c r="M169" i="1"/>
  <c r="V168" i="1"/>
  <c r="U168" i="1"/>
  <c r="T168" i="1"/>
  <c r="S168" i="1"/>
  <c r="R168" i="1"/>
  <c r="Q168" i="1"/>
  <c r="P168" i="1"/>
  <c r="X168" i="1" s="1"/>
  <c r="O168" i="1"/>
  <c r="N168" i="1"/>
  <c r="M168" i="1"/>
  <c r="X167" i="1"/>
  <c r="V167" i="1"/>
  <c r="U167" i="1"/>
  <c r="T167" i="1"/>
  <c r="S167" i="1"/>
  <c r="R167" i="1"/>
  <c r="Q167" i="1"/>
  <c r="P167" i="1"/>
  <c r="O167" i="1"/>
  <c r="N167" i="1"/>
  <c r="M167" i="1"/>
  <c r="V166" i="1"/>
  <c r="U166" i="1"/>
  <c r="T166" i="1"/>
  <c r="S166" i="1"/>
  <c r="R166" i="1"/>
  <c r="Q166" i="1"/>
  <c r="O166" i="1"/>
  <c r="P166" i="1" s="1"/>
  <c r="X166" i="1" s="1"/>
  <c r="N166" i="1"/>
  <c r="M166" i="1"/>
  <c r="V165" i="1"/>
  <c r="U165" i="1"/>
  <c r="T165" i="1"/>
  <c r="S165" i="1"/>
  <c r="R165" i="1"/>
  <c r="Q165" i="1"/>
  <c r="O165" i="1"/>
  <c r="N165" i="1"/>
  <c r="P165" i="1" s="1"/>
  <c r="X165" i="1" s="1"/>
  <c r="M165" i="1"/>
  <c r="V164" i="1"/>
  <c r="U164" i="1"/>
  <c r="T164" i="1"/>
  <c r="S164" i="1"/>
  <c r="R164" i="1"/>
  <c r="Q164" i="1"/>
  <c r="O164" i="1"/>
  <c r="P164" i="1" s="1"/>
  <c r="X164" i="1" s="1"/>
  <c r="N164" i="1"/>
  <c r="M164" i="1"/>
  <c r="V163" i="1"/>
  <c r="U163" i="1"/>
  <c r="T163" i="1"/>
  <c r="S163" i="1"/>
  <c r="R163" i="1"/>
  <c r="Q163" i="1"/>
  <c r="O163" i="1"/>
  <c r="N163" i="1"/>
  <c r="P163" i="1" s="1"/>
  <c r="X163" i="1" s="1"/>
  <c r="M163" i="1"/>
  <c r="V162" i="1"/>
  <c r="U162" i="1"/>
  <c r="T162" i="1"/>
  <c r="S162" i="1"/>
  <c r="R162" i="1"/>
  <c r="X162" i="1" s="1"/>
  <c r="Q162" i="1"/>
  <c r="P162" i="1"/>
  <c r="O162" i="1"/>
  <c r="N162" i="1"/>
  <c r="M162" i="1"/>
  <c r="V161" i="1"/>
  <c r="U161" i="1"/>
  <c r="T161" i="1"/>
  <c r="S161" i="1"/>
  <c r="R161" i="1"/>
  <c r="Q161" i="1"/>
  <c r="O161" i="1"/>
  <c r="P161" i="1" s="1"/>
  <c r="X161" i="1" s="1"/>
  <c r="N161" i="1"/>
  <c r="M161" i="1"/>
  <c r="V160" i="1"/>
  <c r="U160" i="1"/>
  <c r="T160" i="1"/>
  <c r="S160" i="1"/>
  <c r="R160" i="1"/>
  <c r="Q160" i="1"/>
  <c r="P160" i="1"/>
  <c r="X160" i="1" s="1"/>
  <c r="O160" i="1"/>
  <c r="N160" i="1"/>
  <c r="M160" i="1"/>
  <c r="V159" i="1"/>
  <c r="U159" i="1"/>
  <c r="T159" i="1"/>
  <c r="S159" i="1"/>
  <c r="R159" i="1"/>
  <c r="Q159" i="1"/>
  <c r="O159" i="1"/>
  <c r="P159" i="1" s="1"/>
  <c r="X159" i="1" s="1"/>
  <c r="N159" i="1"/>
  <c r="M159" i="1"/>
  <c r="V158" i="1"/>
  <c r="U158" i="1"/>
  <c r="T158" i="1"/>
  <c r="S158" i="1"/>
  <c r="R158" i="1"/>
  <c r="Q158" i="1"/>
  <c r="O158" i="1"/>
  <c r="P158" i="1" s="1"/>
  <c r="X158" i="1" s="1"/>
  <c r="N158" i="1"/>
  <c r="M158" i="1"/>
  <c r="V157" i="1"/>
  <c r="U157" i="1"/>
  <c r="T157" i="1"/>
  <c r="S157" i="1"/>
  <c r="R157" i="1"/>
  <c r="Q157" i="1"/>
  <c r="O157" i="1"/>
  <c r="N157" i="1"/>
  <c r="P157" i="1" s="1"/>
  <c r="X157" i="1" s="1"/>
  <c r="M157" i="1"/>
  <c r="V156" i="1"/>
  <c r="U156" i="1"/>
  <c r="T156" i="1"/>
  <c r="S156" i="1"/>
  <c r="R156" i="1"/>
  <c r="Q156" i="1"/>
  <c r="P156" i="1"/>
  <c r="X156" i="1" s="1"/>
  <c r="O156" i="1"/>
  <c r="N156" i="1"/>
  <c r="M156" i="1"/>
  <c r="X155" i="1"/>
  <c r="V155" i="1"/>
  <c r="U155" i="1"/>
  <c r="T155" i="1"/>
  <c r="S155" i="1"/>
  <c r="R155" i="1"/>
  <c r="Q155" i="1"/>
  <c r="P155" i="1"/>
  <c r="O155" i="1"/>
  <c r="N155" i="1"/>
  <c r="M155" i="1"/>
  <c r="V154" i="1"/>
  <c r="U154" i="1"/>
  <c r="T154" i="1"/>
  <c r="S154" i="1"/>
  <c r="R154" i="1"/>
  <c r="Q154" i="1"/>
  <c r="O154" i="1"/>
  <c r="P154" i="1" s="1"/>
  <c r="X154" i="1" s="1"/>
  <c r="N154" i="1"/>
  <c r="M154" i="1"/>
  <c r="V153" i="1"/>
  <c r="U153" i="1"/>
  <c r="T153" i="1"/>
  <c r="S153" i="1"/>
  <c r="R153" i="1"/>
  <c r="Q153" i="1"/>
  <c r="O153" i="1"/>
  <c r="N153" i="1"/>
  <c r="P153" i="1" s="1"/>
  <c r="X153" i="1" s="1"/>
  <c r="M153" i="1"/>
  <c r="V152" i="1"/>
  <c r="U152" i="1"/>
  <c r="T152" i="1"/>
  <c r="S152" i="1"/>
  <c r="R152" i="1"/>
  <c r="Q152" i="1"/>
  <c r="O152" i="1"/>
  <c r="P152" i="1" s="1"/>
  <c r="X152" i="1" s="1"/>
  <c r="N152" i="1"/>
  <c r="M152" i="1"/>
  <c r="V151" i="1"/>
  <c r="U151" i="1"/>
  <c r="T151" i="1"/>
  <c r="S151" i="1"/>
  <c r="R151" i="1"/>
  <c r="Q151" i="1"/>
  <c r="O151" i="1"/>
  <c r="P151" i="1" s="1"/>
  <c r="X151" i="1" s="1"/>
  <c r="N151" i="1"/>
  <c r="M151" i="1"/>
  <c r="V150" i="1"/>
  <c r="U150" i="1"/>
  <c r="T150" i="1"/>
  <c r="S150" i="1"/>
  <c r="R150" i="1"/>
  <c r="X150" i="1" s="1"/>
  <c r="Q150" i="1"/>
  <c r="P150" i="1"/>
  <c r="O150" i="1"/>
  <c r="N150" i="1"/>
  <c r="M150" i="1"/>
  <c r="V149" i="1"/>
  <c r="U149" i="1"/>
  <c r="T149" i="1"/>
  <c r="S149" i="1"/>
  <c r="R149" i="1"/>
  <c r="Q149" i="1"/>
  <c r="O149" i="1"/>
  <c r="P149" i="1" s="1"/>
  <c r="X149" i="1" s="1"/>
  <c r="N149" i="1"/>
  <c r="M149" i="1"/>
  <c r="V148" i="1"/>
  <c r="U148" i="1"/>
  <c r="T148" i="1"/>
  <c r="S148" i="1"/>
  <c r="R148" i="1"/>
  <c r="Q148" i="1"/>
  <c r="P148" i="1"/>
  <c r="X148" i="1" s="1"/>
  <c r="O148" i="1"/>
  <c r="N148" i="1"/>
  <c r="M148" i="1"/>
  <c r="V147" i="1"/>
  <c r="U147" i="1"/>
  <c r="T147" i="1"/>
  <c r="S147" i="1"/>
  <c r="R147" i="1"/>
  <c r="Q147" i="1"/>
  <c r="O147" i="1"/>
  <c r="P147" i="1" s="1"/>
  <c r="X147" i="1" s="1"/>
  <c r="N147" i="1"/>
  <c r="M147" i="1"/>
  <c r="V146" i="1"/>
  <c r="U146" i="1"/>
  <c r="T146" i="1"/>
  <c r="S146" i="1"/>
  <c r="R146" i="1"/>
  <c r="Q146" i="1"/>
  <c r="O146" i="1"/>
  <c r="P146" i="1" s="1"/>
  <c r="X146" i="1" s="1"/>
  <c r="N146" i="1"/>
  <c r="M146" i="1"/>
  <c r="V145" i="1"/>
  <c r="U145" i="1"/>
  <c r="T145" i="1"/>
  <c r="S145" i="1"/>
  <c r="R145" i="1"/>
  <c r="Q145" i="1"/>
  <c r="O145" i="1"/>
  <c r="N145" i="1"/>
  <c r="P145" i="1" s="1"/>
  <c r="X145" i="1" s="1"/>
  <c r="M145" i="1"/>
  <c r="V144" i="1"/>
  <c r="U144" i="1"/>
  <c r="T144" i="1"/>
  <c r="S144" i="1"/>
  <c r="R144" i="1"/>
  <c r="Q144" i="1"/>
  <c r="P144" i="1"/>
  <c r="X144" i="1" s="1"/>
  <c r="O144" i="1"/>
  <c r="N144" i="1"/>
  <c r="M144" i="1"/>
  <c r="X143" i="1"/>
  <c r="V143" i="1"/>
  <c r="U143" i="1"/>
  <c r="T143" i="1"/>
  <c r="S143" i="1"/>
  <c r="R143" i="1"/>
  <c r="Q143" i="1"/>
  <c r="P143" i="1"/>
  <c r="O143" i="1"/>
  <c r="N143" i="1"/>
  <c r="M143" i="1"/>
  <c r="V142" i="1"/>
  <c r="U142" i="1"/>
  <c r="T142" i="1"/>
  <c r="S142" i="1"/>
  <c r="R142" i="1"/>
  <c r="Q142" i="1"/>
  <c r="O142" i="1"/>
  <c r="P142" i="1" s="1"/>
  <c r="X142" i="1" s="1"/>
  <c r="N142" i="1"/>
  <c r="M142" i="1"/>
  <c r="V141" i="1"/>
  <c r="U141" i="1"/>
  <c r="T141" i="1"/>
  <c r="S141" i="1"/>
  <c r="R141" i="1"/>
  <c r="Q141" i="1"/>
  <c r="O141" i="1"/>
  <c r="N141" i="1"/>
  <c r="P141" i="1" s="1"/>
  <c r="X141" i="1" s="1"/>
  <c r="M141" i="1"/>
  <c r="V140" i="1"/>
  <c r="U140" i="1"/>
  <c r="T140" i="1"/>
  <c r="S140" i="1"/>
  <c r="R140" i="1"/>
  <c r="Q140" i="1"/>
  <c r="O140" i="1"/>
  <c r="P140" i="1" s="1"/>
  <c r="X140" i="1" s="1"/>
  <c r="N140" i="1"/>
  <c r="M140" i="1"/>
  <c r="V139" i="1"/>
  <c r="U139" i="1"/>
  <c r="T139" i="1"/>
  <c r="S139" i="1"/>
  <c r="R139" i="1"/>
  <c r="Q139" i="1"/>
  <c r="O139" i="1"/>
  <c r="P139" i="1" s="1"/>
  <c r="X139" i="1" s="1"/>
  <c r="N139" i="1"/>
  <c r="M139" i="1"/>
  <c r="V138" i="1"/>
  <c r="U138" i="1"/>
  <c r="T138" i="1"/>
  <c r="S138" i="1"/>
  <c r="R138" i="1"/>
  <c r="X138" i="1" s="1"/>
  <c r="Q138" i="1"/>
  <c r="P138" i="1"/>
  <c r="O138" i="1"/>
  <c r="N138" i="1"/>
  <c r="M138" i="1"/>
  <c r="V137" i="1"/>
  <c r="U137" i="1"/>
  <c r="T137" i="1"/>
  <c r="S137" i="1"/>
  <c r="R137" i="1"/>
  <c r="Q137" i="1"/>
  <c r="O137" i="1"/>
  <c r="P137" i="1" s="1"/>
  <c r="X137" i="1" s="1"/>
  <c r="N137" i="1"/>
  <c r="M137" i="1"/>
  <c r="V136" i="1"/>
  <c r="U136" i="1"/>
  <c r="T136" i="1"/>
  <c r="S136" i="1"/>
  <c r="R136" i="1"/>
  <c r="Q136" i="1"/>
  <c r="P136" i="1"/>
  <c r="X136" i="1" s="1"/>
  <c r="O136" i="1"/>
  <c r="N136" i="1"/>
  <c r="M136" i="1"/>
  <c r="V135" i="1"/>
  <c r="U135" i="1"/>
  <c r="T135" i="1"/>
  <c r="S135" i="1"/>
  <c r="R135" i="1"/>
  <c r="Q135" i="1"/>
  <c r="O135" i="1"/>
  <c r="P135" i="1" s="1"/>
  <c r="X135" i="1" s="1"/>
  <c r="N135" i="1"/>
  <c r="M135" i="1"/>
  <c r="V134" i="1"/>
  <c r="U134" i="1"/>
  <c r="T134" i="1"/>
  <c r="S134" i="1"/>
  <c r="R134" i="1"/>
  <c r="Q134" i="1"/>
  <c r="O134" i="1"/>
  <c r="P134" i="1" s="1"/>
  <c r="X134" i="1" s="1"/>
  <c r="N134" i="1"/>
  <c r="M134" i="1"/>
  <c r="V133" i="1"/>
  <c r="U133" i="1"/>
  <c r="T133" i="1"/>
  <c r="S133" i="1"/>
  <c r="R133" i="1"/>
  <c r="Q133" i="1"/>
  <c r="O133" i="1"/>
  <c r="N133" i="1"/>
  <c r="P133" i="1" s="1"/>
  <c r="X133" i="1" s="1"/>
  <c r="M133" i="1"/>
  <c r="V132" i="1"/>
  <c r="U132" i="1"/>
  <c r="T132" i="1"/>
  <c r="S132" i="1"/>
  <c r="R132" i="1"/>
  <c r="Q132" i="1"/>
  <c r="P132" i="1"/>
  <c r="X132" i="1" s="1"/>
  <c r="O132" i="1"/>
  <c r="N132" i="1"/>
  <c r="M132" i="1"/>
  <c r="X131" i="1"/>
  <c r="V131" i="1"/>
  <c r="U131" i="1"/>
  <c r="T131" i="1"/>
  <c r="S131" i="1"/>
  <c r="R131" i="1"/>
  <c r="Q131" i="1"/>
  <c r="P131" i="1"/>
  <c r="O131" i="1"/>
  <c r="N131" i="1"/>
  <c r="M131" i="1"/>
  <c r="V130" i="1"/>
  <c r="U130" i="1"/>
  <c r="T130" i="1"/>
  <c r="S130" i="1"/>
  <c r="R130" i="1"/>
  <c r="Q130" i="1"/>
  <c r="O130" i="1"/>
  <c r="P130" i="1" s="1"/>
  <c r="X130" i="1" s="1"/>
  <c r="N130" i="1"/>
  <c r="M130" i="1"/>
  <c r="V129" i="1"/>
  <c r="U129" i="1"/>
  <c r="T129" i="1"/>
  <c r="S129" i="1"/>
  <c r="R129" i="1"/>
  <c r="Q129" i="1"/>
  <c r="O129" i="1"/>
  <c r="N129" i="1"/>
  <c r="P129" i="1" s="1"/>
  <c r="X129" i="1" s="1"/>
  <c r="M129" i="1"/>
  <c r="V128" i="1"/>
  <c r="U128" i="1"/>
  <c r="T128" i="1"/>
  <c r="S128" i="1"/>
  <c r="R128" i="1"/>
  <c r="Q128" i="1"/>
  <c r="O128" i="1"/>
  <c r="P128" i="1" s="1"/>
  <c r="X128" i="1" s="1"/>
  <c r="N128" i="1"/>
  <c r="M128" i="1"/>
  <c r="V127" i="1"/>
  <c r="U127" i="1"/>
  <c r="T127" i="1"/>
  <c r="S127" i="1"/>
  <c r="R127" i="1"/>
  <c r="Q127" i="1"/>
  <c r="O127" i="1"/>
  <c r="P127" i="1" s="1"/>
  <c r="X127" i="1" s="1"/>
  <c r="N127" i="1"/>
  <c r="M127" i="1"/>
  <c r="V126" i="1"/>
  <c r="U126" i="1"/>
  <c r="T126" i="1"/>
  <c r="S126" i="1"/>
  <c r="R126" i="1"/>
  <c r="X126" i="1" s="1"/>
  <c r="Q126" i="1"/>
  <c r="P126" i="1"/>
  <c r="O126" i="1"/>
  <c r="N126" i="1"/>
  <c r="M126" i="1"/>
  <c r="V125" i="1"/>
  <c r="U125" i="1"/>
  <c r="T125" i="1"/>
  <c r="S125" i="1"/>
  <c r="R125" i="1"/>
  <c r="Q125" i="1"/>
  <c r="O125" i="1"/>
  <c r="P125" i="1" s="1"/>
  <c r="X125" i="1" s="1"/>
  <c r="N125" i="1"/>
  <c r="M125" i="1"/>
  <c r="V124" i="1"/>
  <c r="U124" i="1"/>
  <c r="T124" i="1"/>
  <c r="S124" i="1"/>
  <c r="R124" i="1"/>
  <c r="Q124" i="1"/>
  <c r="P124" i="1"/>
  <c r="X124" i="1" s="1"/>
  <c r="O124" i="1"/>
  <c r="N124" i="1"/>
  <c r="M124" i="1"/>
  <c r="V123" i="1"/>
  <c r="U123" i="1"/>
  <c r="T123" i="1"/>
  <c r="S123" i="1"/>
  <c r="R123" i="1"/>
  <c r="Q123" i="1"/>
  <c r="O123" i="1"/>
  <c r="P123" i="1" s="1"/>
  <c r="X123" i="1" s="1"/>
  <c r="N123" i="1"/>
  <c r="M123" i="1"/>
  <c r="V122" i="1"/>
  <c r="U122" i="1"/>
  <c r="T122" i="1"/>
  <c r="S122" i="1"/>
  <c r="R122" i="1"/>
  <c r="Q122" i="1"/>
  <c r="O122" i="1"/>
  <c r="P122" i="1" s="1"/>
  <c r="X122" i="1" s="1"/>
  <c r="N122" i="1"/>
  <c r="M122" i="1"/>
  <c r="V121" i="1"/>
  <c r="U121" i="1"/>
  <c r="T121" i="1"/>
  <c r="S121" i="1"/>
  <c r="R121" i="1"/>
  <c r="Q121" i="1"/>
  <c r="O121" i="1"/>
  <c r="P121" i="1" s="1"/>
  <c r="X121" i="1" s="1"/>
  <c r="N121" i="1"/>
  <c r="M121" i="1"/>
  <c r="V120" i="1"/>
  <c r="U120" i="1"/>
  <c r="T120" i="1"/>
  <c r="S120" i="1"/>
  <c r="R120" i="1"/>
  <c r="Q120" i="1"/>
  <c r="P120" i="1"/>
  <c r="X120" i="1" s="1"/>
  <c r="O120" i="1"/>
  <c r="N120" i="1"/>
  <c r="M120" i="1"/>
  <c r="X119" i="1"/>
  <c r="V119" i="1"/>
  <c r="U119" i="1"/>
  <c r="T119" i="1"/>
  <c r="S119" i="1"/>
  <c r="R119" i="1"/>
  <c r="Q119" i="1"/>
  <c r="P119" i="1"/>
  <c r="O119" i="1"/>
  <c r="N119" i="1"/>
  <c r="M119" i="1"/>
  <c r="V118" i="1"/>
  <c r="U118" i="1"/>
  <c r="T118" i="1"/>
  <c r="S118" i="1"/>
  <c r="R118" i="1"/>
  <c r="Q118" i="1"/>
  <c r="O118" i="1"/>
  <c r="P118" i="1" s="1"/>
  <c r="X118" i="1" s="1"/>
  <c r="N118" i="1"/>
  <c r="M118" i="1"/>
  <c r="V117" i="1"/>
  <c r="U117" i="1"/>
  <c r="T117" i="1"/>
  <c r="S117" i="1"/>
  <c r="R117" i="1"/>
  <c r="Q117" i="1"/>
  <c r="O117" i="1"/>
  <c r="N117" i="1"/>
  <c r="P117" i="1" s="1"/>
  <c r="X117" i="1" s="1"/>
  <c r="M117" i="1"/>
  <c r="V116" i="1"/>
  <c r="U116" i="1"/>
  <c r="T116" i="1"/>
  <c r="S116" i="1"/>
  <c r="R116" i="1"/>
  <c r="Q116" i="1"/>
  <c r="O116" i="1"/>
  <c r="P116" i="1" s="1"/>
  <c r="X116" i="1" s="1"/>
  <c r="N116" i="1"/>
  <c r="M116" i="1"/>
  <c r="V115" i="1"/>
  <c r="U115" i="1"/>
  <c r="T115" i="1"/>
  <c r="S115" i="1"/>
  <c r="R115" i="1"/>
  <c r="Q115" i="1"/>
  <c r="O115" i="1"/>
  <c r="P115" i="1" s="1"/>
  <c r="X115" i="1" s="1"/>
  <c r="N115" i="1"/>
  <c r="M115" i="1"/>
  <c r="V114" i="1"/>
  <c r="U114" i="1"/>
  <c r="T114" i="1"/>
  <c r="S114" i="1"/>
  <c r="R114" i="1"/>
  <c r="X114" i="1" s="1"/>
  <c r="Q114" i="1"/>
  <c r="P114" i="1"/>
  <c r="O114" i="1"/>
  <c r="N114" i="1"/>
  <c r="M114" i="1"/>
  <c r="V113" i="1"/>
  <c r="U113" i="1"/>
  <c r="T113" i="1"/>
  <c r="S113" i="1"/>
  <c r="R113" i="1"/>
  <c r="Q113" i="1"/>
  <c r="O113" i="1"/>
  <c r="P113" i="1" s="1"/>
  <c r="X113" i="1" s="1"/>
  <c r="N113" i="1"/>
  <c r="M113" i="1"/>
  <c r="V112" i="1"/>
  <c r="U112" i="1"/>
  <c r="T112" i="1"/>
  <c r="S112" i="1"/>
  <c r="R112" i="1"/>
  <c r="Q112" i="1"/>
  <c r="P112" i="1"/>
  <c r="X112" i="1" s="1"/>
  <c r="O112" i="1"/>
  <c r="N112" i="1"/>
  <c r="M112" i="1"/>
  <c r="V111" i="1"/>
  <c r="U111" i="1"/>
  <c r="T111" i="1"/>
  <c r="S111" i="1"/>
  <c r="R111" i="1"/>
  <c r="Q111" i="1"/>
  <c r="O111" i="1"/>
  <c r="P111" i="1" s="1"/>
  <c r="X111" i="1" s="1"/>
  <c r="N111" i="1"/>
  <c r="M111" i="1"/>
  <c r="V110" i="1"/>
  <c r="U110" i="1"/>
  <c r="T110" i="1"/>
  <c r="S110" i="1"/>
  <c r="R110" i="1"/>
  <c r="Q110" i="1"/>
  <c r="O110" i="1"/>
  <c r="P110" i="1" s="1"/>
  <c r="X110" i="1" s="1"/>
  <c r="N110" i="1"/>
  <c r="M110" i="1"/>
  <c r="V109" i="1"/>
  <c r="U109" i="1"/>
  <c r="T109" i="1"/>
  <c r="S109" i="1"/>
  <c r="R109" i="1"/>
  <c r="Q109" i="1"/>
  <c r="O109" i="1"/>
  <c r="P109" i="1" s="1"/>
  <c r="X109" i="1" s="1"/>
  <c r="N109" i="1"/>
  <c r="M109" i="1"/>
  <c r="V108" i="1"/>
  <c r="U108" i="1"/>
  <c r="T108" i="1"/>
  <c r="S108" i="1"/>
  <c r="R108" i="1"/>
  <c r="Q108" i="1"/>
  <c r="P108" i="1"/>
  <c r="X108" i="1" s="1"/>
  <c r="O108" i="1"/>
  <c r="N108" i="1"/>
  <c r="M108" i="1"/>
  <c r="X107" i="1"/>
  <c r="V107" i="1"/>
  <c r="U107" i="1"/>
  <c r="T107" i="1"/>
  <c r="S107" i="1"/>
  <c r="R107" i="1"/>
  <c r="Q107" i="1"/>
  <c r="P107" i="1"/>
  <c r="O107" i="1"/>
  <c r="N107" i="1"/>
  <c r="M107" i="1"/>
  <c r="V106" i="1"/>
  <c r="U106" i="1"/>
  <c r="T106" i="1"/>
  <c r="S106" i="1"/>
  <c r="R106" i="1"/>
  <c r="Q106" i="1"/>
  <c r="O106" i="1"/>
  <c r="P106" i="1" s="1"/>
  <c r="X106" i="1" s="1"/>
  <c r="N106" i="1"/>
  <c r="M106" i="1"/>
  <c r="V105" i="1"/>
  <c r="U105" i="1"/>
  <c r="T105" i="1"/>
  <c r="S105" i="1"/>
  <c r="R105" i="1"/>
  <c r="Q105" i="1"/>
  <c r="O105" i="1"/>
  <c r="N105" i="1"/>
  <c r="P105" i="1" s="1"/>
  <c r="X105" i="1" s="1"/>
  <c r="M105" i="1"/>
  <c r="V104" i="1"/>
  <c r="U104" i="1"/>
  <c r="T104" i="1"/>
  <c r="S104" i="1"/>
  <c r="R104" i="1"/>
  <c r="Q104" i="1"/>
  <c r="O104" i="1"/>
  <c r="P104" i="1" s="1"/>
  <c r="X104" i="1" s="1"/>
  <c r="N104" i="1"/>
  <c r="M104" i="1"/>
  <c r="V103" i="1"/>
  <c r="U103" i="1"/>
  <c r="T103" i="1"/>
  <c r="S103" i="1"/>
  <c r="R103" i="1"/>
  <c r="Q103" i="1"/>
  <c r="O103" i="1"/>
  <c r="P103" i="1" s="1"/>
  <c r="X103" i="1" s="1"/>
  <c r="N103" i="1"/>
  <c r="M103" i="1"/>
  <c r="V102" i="1"/>
  <c r="U102" i="1"/>
  <c r="T102" i="1"/>
  <c r="S102" i="1"/>
  <c r="R102" i="1"/>
  <c r="X102" i="1" s="1"/>
  <c r="Q102" i="1"/>
  <c r="P102" i="1"/>
  <c r="O102" i="1"/>
  <c r="N102" i="1"/>
  <c r="M102" i="1"/>
  <c r="V101" i="1"/>
  <c r="U101" i="1"/>
  <c r="T101" i="1"/>
  <c r="S101" i="1"/>
  <c r="R101" i="1"/>
  <c r="Q101" i="1"/>
  <c r="O101" i="1"/>
  <c r="P101" i="1" s="1"/>
  <c r="X101" i="1" s="1"/>
  <c r="N101" i="1"/>
  <c r="M101" i="1"/>
  <c r="V100" i="1"/>
  <c r="U100" i="1"/>
  <c r="T100" i="1"/>
  <c r="S100" i="1"/>
  <c r="R100" i="1"/>
  <c r="Q100" i="1"/>
  <c r="P100" i="1"/>
  <c r="X100" i="1" s="1"/>
  <c r="O100" i="1"/>
  <c r="N100" i="1"/>
  <c r="M100" i="1"/>
  <c r="V99" i="1"/>
  <c r="U99" i="1"/>
  <c r="T99" i="1"/>
  <c r="S99" i="1"/>
  <c r="R99" i="1"/>
  <c r="Q99" i="1"/>
  <c r="O99" i="1"/>
  <c r="P99" i="1" s="1"/>
  <c r="X99" i="1" s="1"/>
  <c r="N99" i="1"/>
  <c r="M99" i="1"/>
  <c r="V98" i="1"/>
  <c r="U98" i="1"/>
  <c r="T98" i="1"/>
  <c r="S98" i="1"/>
  <c r="R98" i="1"/>
  <c r="Q98" i="1"/>
  <c r="O98" i="1"/>
  <c r="P98" i="1" s="1"/>
  <c r="X98" i="1" s="1"/>
  <c r="N98" i="1"/>
  <c r="M98" i="1"/>
  <c r="V97" i="1"/>
  <c r="U97" i="1"/>
  <c r="T97" i="1"/>
  <c r="S97" i="1"/>
  <c r="R97" i="1"/>
  <c r="Q97" i="1"/>
  <c r="O97" i="1"/>
  <c r="P97" i="1" s="1"/>
  <c r="X97" i="1" s="1"/>
  <c r="N97" i="1"/>
  <c r="M97" i="1"/>
  <c r="V96" i="1"/>
  <c r="U96" i="1"/>
  <c r="T96" i="1"/>
  <c r="S96" i="1"/>
  <c r="R96" i="1"/>
  <c r="Q96" i="1"/>
  <c r="P96" i="1"/>
  <c r="X96" i="1" s="1"/>
  <c r="O96" i="1"/>
  <c r="N96" i="1"/>
  <c r="M96" i="1"/>
  <c r="X95" i="1"/>
  <c r="V95" i="1"/>
  <c r="U95" i="1"/>
  <c r="T95" i="1"/>
  <c r="S95" i="1"/>
  <c r="R95" i="1"/>
  <c r="Q95" i="1"/>
  <c r="P95" i="1"/>
  <c r="O95" i="1"/>
  <c r="N95" i="1"/>
  <c r="M95" i="1"/>
  <c r="V94" i="1"/>
  <c r="U94" i="1"/>
  <c r="T94" i="1"/>
  <c r="S94" i="1"/>
  <c r="R94" i="1"/>
  <c r="Q94" i="1"/>
  <c r="O94" i="1"/>
  <c r="P94" i="1" s="1"/>
  <c r="X94" i="1" s="1"/>
  <c r="N94" i="1"/>
  <c r="M94" i="1"/>
  <c r="V93" i="1"/>
  <c r="U93" i="1"/>
  <c r="T93" i="1"/>
  <c r="S93" i="1"/>
  <c r="R93" i="1"/>
  <c r="Q93" i="1"/>
  <c r="O93" i="1"/>
  <c r="N93" i="1"/>
  <c r="P93" i="1" s="1"/>
  <c r="X93" i="1" s="1"/>
  <c r="M93" i="1"/>
  <c r="V92" i="1"/>
  <c r="U92" i="1"/>
  <c r="T92" i="1"/>
  <c r="S92" i="1"/>
  <c r="R92" i="1"/>
  <c r="Q92" i="1"/>
  <c r="O92" i="1"/>
  <c r="P92" i="1" s="1"/>
  <c r="X92" i="1" s="1"/>
  <c r="N92" i="1"/>
  <c r="M92" i="1"/>
  <c r="V91" i="1"/>
  <c r="U91" i="1"/>
  <c r="T91" i="1"/>
  <c r="S91" i="1"/>
  <c r="R91" i="1"/>
  <c r="Q91" i="1"/>
  <c r="O91" i="1"/>
  <c r="P91" i="1" s="1"/>
  <c r="X91" i="1" s="1"/>
  <c r="N91" i="1"/>
  <c r="M91" i="1"/>
  <c r="V90" i="1"/>
  <c r="U90" i="1"/>
  <c r="T90" i="1"/>
  <c r="S90" i="1"/>
  <c r="R90" i="1"/>
  <c r="X90" i="1" s="1"/>
  <c r="Q90" i="1"/>
  <c r="P90" i="1"/>
  <c r="O90" i="1"/>
  <c r="N90" i="1"/>
  <c r="M90" i="1"/>
  <c r="V89" i="1"/>
  <c r="U89" i="1"/>
  <c r="T89" i="1"/>
  <c r="S89" i="1"/>
  <c r="R89" i="1"/>
  <c r="Q89" i="1"/>
  <c r="O89" i="1"/>
  <c r="P89" i="1" s="1"/>
  <c r="X89" i="1" s="1"/>
  <c r="N89" i="1"/>
  <c r="M89" i="1"/>
  <c r="V88" i="1"/>
  <c r="U88" i="1"/>
  <c r="T88" i="1"/>
  <c r="S88" i="1"/>
  <c r="R88" i="1"/>
  <c r="Q88" i="1"/>
  <c r="P88" i="1"/>
  <c r="X88" i="1" s="1"/>
  <c r="O88" i="1"/>
  <c r="N88" i="1"/>
  <c r="M88" i="1"/>
  <c r="V87" i="1"/>
  <c r="U87" i="1"/>
  <c r="T87" i="1"/>
  <c r="S87" i="1"/>
  <c r="R87" i="1"/>
  <c r="Q87" i="1"/>
  <c r="O87" i="1"/>
  <c r="P87" i="1" s="1"/>
  <c r="X87" i="1" s="1"/>
  <c r="N87" i="1"/>
  <c r="M87" i="1"/>
  <c r="V86" i="1"/>
  <c r="U86" i="1"/>
  <c r="T86" i="1"/>
  <c r="S86" i="1"/>
  <c r="R86" i="1"/>
  <c r="Q86" i="1"/>
  <c r="O86" i="1"/>
  <c r="P86" i="1" s="1"/>
  <c r="X86" i="1" s="1"/>
  <c r="N86" i="1"/>
  <c r="M86" i="1"/>
  <c r="V85" i="1"/>
  <c r="U85" i="1"/>
  <c r="T85" i="1"/>
  <c r="S85" i="1"/>
  <c r="R85" i="1"/>
  <c r="Q85" i="1"/>
  <c r="O85" i="1"/>
  <c r="N85" i="1"/>
  <c r="P85" i="1" s="1"/>
  <c r="X85" i="1" s="1"/>
  <c r="M85" i="1"/>
  <c r="V84" i="1"/>
  <c r="U84" i="1"/>
  <c r="T84" i="1"/>
  <c r="S84" i="1"/>
  <c r="R84" i="1"/>
  <c r="Q84" i="1"/>
  <c r="P84" i="1"/>
  <c r="X84" i="1" s="1"/>
  <c r="O84" i="1"/>
  <c r="N84" i="1"/>
  <c r="M84" i="1"/>
  <c r="X83" i="1"/>
  <c r="V83" i="1"/>
  <c r="U83" i="1"/>
  <c r="T83" i="1"/>
  <c r="S83" i="1"/>
  <c r="R83" i="1"/>
  <c r="Q83" i="1"/>
  <c r="P83" i="1"/>
  <c r="O83" i="1"/>
  <c r="N83" i="1"/>
  <c r="M83" i="1"/>
  <c r="V82" i="1"/>
  <c r="U82" i="1"/>
  <c r="T82" i="1"/>
  <c r="S82" i="1"/>
  <c r="R82" i="1"/>
  <c r="Q82" i="1"/>
  <c r="O82" i="1"/>
  <c r="P82" i="1" s="1"/>
  <c r="X82" i="1" s="1"/>
  <c r="N82" i="1"/>
  <c r="M82" i="1"/>
  <c r="V81" i="1"/>
  <c r="U81" i="1"/>
  <c r="T81" i="1"/>
  <c r="S81" i="1"/>
  <c r="R81" i="1"/>
  <c r="Q81" i="1"/>
  <c r="O81" i="1"/>
  <c r="N81" i="1"/>
  <c r="P81" i="1" s="1"/>
  <c r="X81" i="1" s="1"/>
  <c r="M81" i="1"/>
  <c r="V80" i="1"/>
  <c r="U80" i="1"/>
  <c r="T80" i="1"/>
  <c r="S80" i="1"/>
  <c r="R80" i="1"/>
  <c r="Q80" i="1"/>
  <c r="O80" i="1"/>
  <c r="P80" i="1" s="1"/>
  <c r="X80" i="1" s="1"/>
  <c r="N80" i="1"/>
  <c r="M80" i="1"/>
  <c r="V79" i="1"/>
  <c r="U79" i="1"/>
  <c r="T79" i="1"/>
  <c r="S79" i="1"/>
  <c r="R79" i="1"/>
  <c r="Q79" i="1"/>
  <c r="O79" i="1"/>
  <c r="P79" i="1" s="1"/>
  <c r="X79" i="1" s="1"/>
  <c r="N79" i="1"/>
  <c r="M79" i="1"/>
  <c r="V78" i="1"/>
  <c r="U78" i="1"/>
  <c r="T78" i="1"/>
  <c r="S78" i="1"/>
  <c r="R78" i="1"/>
  <c r="X78" i="1" s="1"/>
  <c r="Q78" i="1"/>
  <c r="P78" i="1"/>
  <c r="O78" i="1"/>
  <c r="N78" i="1"/>
  <c r="M78" i="1"/>
  <c r="V77" i="1"/>
  <c r="U77" i="1"/>
  <c r="T77" i="1"/>
  <c r="S77" i="1"/>
  <c r="R77" i="1"/>
  <c r="Q77" i="1"/>
  <c r="O77" i="1"/>
  <c r="P77" i="1" s="1"/>
  <c r="X77" i="1" s="1"/>
  <c r="N77" i="1"/>
  <c r="M77" i="1"/>
  <c r="V76" i="1"/>
  <c r="U76" i="1"/>
  <c r="T76" i="1"/>
  <c r="S76" i="1"/>
  <c r="R76" i="1"/>
  <c r="Q76" i="1"/>
  <c r="P76" i="1"/>
  <c r="X76" i="1" s="1"/>
  <c r="O76" i="1"/>
  <c r="N76" i="1"/>
  <c r="M76" i="1"/>
  <c r="V75" i="1"/>
  <c r="U75" i="1"/>
  <c r="T75" i="1"/>
  <c r="S75" i="1"/>
  <c r="R75" i="1"/>
  <c r="Q75" i="1"/>
  <c r="O75" i="1"/>
  <c r="P75" i="1" s="1"/>
  <c r="X75" i="1" s="1"/>
  <c r="N75" i="1"/>
  <c r="M75" i="1"/>
  <c r="V74" i="1"/>
  <c r="U74" i="1"/>
  <c r="T74" i="1"/>
  <c r="S74" i="1"/>
  <c r="R74" i="1"/>
  <c r="Q74" i="1"/>
  <c r="O74" i="1"/>
  <c r="P74" i="1" s="1"/>
  <c r="X74" i="1" s="1"/>
  <c r="N74" i="1"/>
  <c r="M74" i="1"/>
  <c r="V73" i="1"/>
  <c r="U73" i="1"/>
  <c r="T73" i="1"/>
  <c r="S73" i="1"/>
  <c r="R73" i="1"/>
  <c r="Q73" i="1"/>
  <c r="O73" i="1"/>
  <c r="N73" i="1"/>
  <c r="P73" i="1" s="1"/>
  <c r="X73" i="1" s="1"/>
  <c r="M73" i="1"/>
  <c r="V72" i="1"/>
  <c r="U72" i="1"/>
  <c r="T72" i="1"/>
  <c r="S72" i="1"/>
  <c r="R72" i="1"/>
  <c r="Q72" i="1"/>
  <c r="P72" i="1"/>
  <c r="X72" i="1" s="1"/>
  <c r="O72" i="1"/>
  <c r="N72" i="1"/>
  <c r="M72" i="1"/>
  <c r="X71" i="1"/>
  <c r="V71" i="1"/>
  <c r="U71" i="1"/>
  <c r="T71" i="1"/>
  <c r="S71" i="1"/>
  <c r="R71" i="1"/>
  <c r="Q71" i="1"/>
  <c r="P71" i="1"/>
  <c r="O71" i="1"/>
  <c r="N71" i="1"/>
  <c r="M71" i="1"/>
  <c r="V70" i="1"/>
  <c r="U70" i="1"/>
  <c r="T70" i="1"/>
  <c r="S70" i="1"/>
  <c r="R70" i="1"/>
  <c r="Q70" i="1"/>
  <c r="O70" i="1"/>
  <c r="P70" i="1" s="1"/>
  <c r="X70" i="1" s="1"/>
  <c r="N70" i="1"/>
  <c r="M70" i="1"/>
  <c r="V69" i="1"/>
  <c r="U69" i="1"/>
  <c r="T69" i="1"/>
  <c r="S69" i="1"/>
  <c r="R69" i="1"/>
  <c r="Q69" i="1"/>
  <c r="O69" i="1"/>
  <c r="N69" i="1"/>
  <c r="P69" i="1" s="1"/>
  <c r="X69" i="1" s="1"/>
  <c r="M69" i="1"/>
  <c r="V68" i="1"/>
  <c r="U68" i="1"/>
  <c r="T68" i="1"/>
  <c r="S68" i="1"/>
  <c r="R68" i="1"/>
  <c r="Q68" i="1"/>
  <c r="O68" i="1"/>
  <c r="P68" i="1" s="1"/>
  <c r="X68" i="1" s="1"/>
  <c r="N68" i="1"/>
  <c r="M68" i="1"/>
  <c r="V67" i="1"/>
  <c r="U67" i="1"/>
  <c r="T67" i="1"/>
  <c r="S67" i="1"/>
  <c r="R67" i="1"/>
  <c r="Q67" i="1"/>
  <c r="O67" i="1"/>
  <c r="N67" i="1"/>
  <c r="P67" i="1" s="1"/>
  <c r="X67" i="1" s="1"/>
  <c r="M67" i="1"/>
  <c r="V66" i="1"/>
  <c r="U66" i="1"/>
  <c r="T66" i="1"/>
  <c r="S66" i="1"/>
  <c r="R66" i="1"/>
  <c r="X66" i="1" s="1"/>
  <c r="Q66" i="1"/>
  <c r="P66" i="1"/>
  <c r="O66" i="1"/>
  <c r="N66" i="1"/>
  <c r="M66" i="1"/>
  <c r="V65" i="1"/>
  <c r="U65" i="1"/>
  <c r="T65" i="1"/>
  <c r="S65" i="1"/>
  <c r="R65" i="1"/>
  <c r="Q65" i="1"/>
  <c r="O65" i="1"/>
  <c r="P65" i="1" s="1"/>
  <c r="X65" i="1" s="1"/>
  <c r="N65" i="1"/>
  <c r="M65" i="1"/>
  <c r="V64" i="1"/>
  <c r="U64" i="1"/>
  <c r="T64" i="1"/>
  <c r="S64" i="1"/>
  <c r="R64" i="1"/>
  <c r="Q64" i="1"/>
  <c r="P64" i="1"/>
  <c r="X64" i="1" s="1"/>
  <c r="O64" i="1"/>
  <c r="N64" i="1"/>
  <c r="M64" i="1"/>
  <c r="V63" i="1"/>
  <c r="U63" i="1"/>
  <c r="T63" i="1"/>
  <c r="S63" i="1"/>
  <c r="R63" i="1"/>
  <c r="Q63" i="1"/>
  <c r="O63" i="1"/>
  <c r="P63" i="1" s="1"/>
  <c r="X63" i="1" s="1"/>
  <c r="N63" i="1"/>
  <c r="M63" i="1"/>
  <c r="V62" i="1"/>
  <c r="U62" i="1"/>
  <c r="T62" i="1"/>
  <c r="S62" i="1"/>
  <c r="R62" i="1"/>
  <c r="Q62" i="1"/>
  <c r="O62" i="1"/>
  <c r="P62" i="1" s="1"/>
  <c r="X62" i="1" s="1"/>
  <c r="N62" i="1"/>
  <c r="M62" i="1"/>
  <c r="V61" i="1"/>
  <c r="U61" i="1"/>
  <c r="T61" i="1"/>
  <c r="S61" i="1"/>
  <c r="R61" i="1"/>
  <c r="Q61" i="1"/>
  <c r="O61" i="1"/>
  <c r="N61" i="1"/>
  <c r="P61" i="1" s="1"/>
  <c r="X61" i="1" s="1"/>
  <c r="M61" i="1"/>
  <c r="V60" i="1"/>
  <c r="U60" i="1"/>
  <c r="T60" i="1"/>
  <c r="S60" i="1"/>
  <c r="R60" i="1"/>
  <c r="Q60" i="1"/>
  <c r="P60" i="1"/>
  <c r="X60" i="1" s="1"/>
  <c r="O60" i="1"/>
  <c r="N60" i="1"/>
  <c r="M60" i="1"/>
  <c r="X59" i="1"/>
  <c r="V59" i="1"/>
  <c r="U59" i="1"/>
  <c r="T59" i="1"/>
  <c r="S59" i="1"/>
  <c r="R59" i="1"/>
  <c r="Q59" i="1"/>
  <c r="P59" i="1"/>
  <c r="O59" i="1"/>
  <c r="N59" i="1"/>
  <c r="M59" i="1"/>
  <c r="V58" i="1"/>
  <c r="U58" i="1"/>
  <c r="T58" i="1"/>
  <c r="S58" i="1"/>
  <c r="R58" i="1"/>
  <c r="Q58" i="1"/>
  <c r="O58" i="1"/>
  <c r="P58" i="1" s="1"/>
  <c r="X58" i="1" s="1"/>
  <c r="N58" i="1"/>
  <c r="M58" i="1"/>
  <c r="V57" i="1"/>
  <c r="U57" i="1"/>
  <c r="T57" i="1"/>
  <c r="S57" i="1"/>
  <c r="R57" i="1"/>
  <c r="Q57" i="1"/>
  <c r="O57" i="1"/>
  <c r="N57" i="1"/>
  <c r="P57" i="1" s="1"/>
  <c r="X57" i="1" s="1"/>
  <c r="M57" i="1"/>
  <c r="V56" i="1"/>
  <c r="U56" i="1"/>
  <c r="T56" i="1"/>
  <c r="S56" i="1"/>
  <c r="R56" i="1"/>
  <c r="Q56" i="1"/>
  <c r="O56" i="1"/>
  <c r="P56" i="1" s="1"/>
  <c r="X56" i="1" s="1"/>
  <c r="N56" i="1"/>
  <c r="M56" i="1"/>
  <c r="V55" i="1"/>
  <c r="U55" i="1"/>
  <c r="T55" i="1"/>
  <c r="S55" i="1"/>
  <c r="R55" i="1"/>
  <c r="Q55" i="1"/>
  <c r="O55" i="1"/>
  <c r="N55" i="1"/>
  <c r="P55" i="1" s="1"/>
  <c r="X55" i="1" s="1"/>
  <c r="M55" i="1"/>
  <c r="V54" i="1"/>
  <c r="U54" i="1"/>
  <c r="T54" i="1"/>
  <c r="S54" i="1"/>
  <c r="R54" i="1"/>
  <c r="X54" i="1" s="1"/>
  <c r="Q54" i="1"/>
  <c r="P54" i="1"/>
  <c r="O54" i="1"/>
  <c r="N54" i="1"/>
  <c r="M54" i="1"/>
  <c r="V53" i="1"/>
  <c r="U53" i="1"/>
  <c r="T53" i="1"/>
  <c r="S53" i="1"/>
  <c r="R53" i="1"/>
  <c r="Q53" i="1"/>
  <c r="O53" i="1"/>
  <c r="P53" i="1" s="1"/>
  <c r="X53" i="1" s="1"/>
  <c r="N53" i="1"/>
  <c r="M53" i="1"/>
  <c r="V52" i="1"/>
  <c r="U52" i="1"/>
  <c r="T52" i="1"/>
  <c r="S52" i="1"/>
  <c r="R52" i="1"/>
  <c r="Q52" i="1"/>
  <c r="P52" i="1"/>
  <c r="X52" i="1" s="1"/>
  <c r="O52" i="1"/>
  <c r="N52" i="1"/>
  <c r="M52" i="1"/>
  <c r="V51" i="1"/>
  <c r="U51" i="1"/>
  <c r="T51" i="1"/>
  <c r="S51" i="1"/>
  <c r="R51" i="1"/>
  <c r="Q51" i="1"/>
  <c r="O51" i="1"/>
  <c r="P51" i="1" s="1"/>
  <c r="X51" i="1" s="1"/>
  <c r="N51" i="1"/>
  <c r="M51" i="1"/>
  <c r="V50" i="1"/>
  <c r="U50" i="1"/>
  <c r="T50" i="1"/>
  <c r="S50" i="1"/>
  <c r="R50" i="1"/>
  <c r="Q50" i="1"/>
  <c r="O50" i="1"/>
  <c r="P50" i="1" s="1"/>
  <c r="X50" i="1" s="1"/>
  <c r="N50" i="1"/>
  <c r="M50" i="1"/>
  <c r="V49" i="1"/>
  <c r="U49" i="1"/>
  <c r="T49" i="1"/>
  <c r="S49" i="1"/>
  <c r="R49" i="1"/>
  <c r="Q49" i="1"/>
  <c r="O49" i="1"/>
  <c r="N49" i="1"/>
  <c r="P49" i="1" s="1"/>
  <c r="X49" i="1" s="1"/>
  <c r="M49" i="1"/>
  <c r="V48" i="1"/>
  <c r="U48" i="1"/>
  <c r="T48" i="1"/>
  <c r="S48" i="1"/>
  <c r="R48" i="1"/>
  <c r="Q48" i="1"/>
  <c r="P48" i="1"/>
  <c r="X48" i="1" s="1"/>
  <c r="O48" i="1"/>
  <c r="N48" i="1"/>
  <c r="M48" i="1"/>
  <c r="X47" i="1"/>
  <c r="V47" i="1"/>
  <c r="U47" i="1"/>
  <c r="T47" i="1"/>
  <c r="S47" i="1"/>
  <c r="R47" i="1"/>
  <c r="Q47" i="1"/>
  <c r="P47" i="1"/>
  <c r="O47" i="1"/>
  <c r="N47" i="1"/>
  <c r="M47" i="1"/>
  <c r="V46" i="1"/>
  <c r="U46" i="1"/>
  <c r="T46" i="1"/>
  <c r="S46" i="1"/>
  <c r="R46" i="1"/>
  <c r="Q46" i="1"/>
  <c r="O46" i="1"/>
  <c r="P46" i="1" s="1"/>
  <c r="X46" i="1" s="1"/>
  <c r="N46" i="1"/>
  <c r="M46" i="1"/>
  <c r="V45" i="1"/>
  <c r="U45" i="1"/>
  <c r="T45" i="1"/>
  <c r="S45" i="1"/>
  <c r="R45" i="1"/>
  <c r="Q45" i="1"/>
  <c r="O45" i="1"/>
  <c r="N45" i="1"/>
  <c r="P45" i="1" s="1"/>
  <c r="X45" i="1" s="1"/>
  <c r="M45" i="1"/>
  <c r="V44" i="1"/>
  <c r="U44" i="1"/>
  <c r="T44" i="1"/>
  <c r="S44" i="1"/>
  <c r="R44" i="1"/>
  <c r="Q44" i="1"/>
  <c r="O44" i="1"/>
  <c r="P44" i="1" s="1"/>
  <c r="X44" i="1" s="1"/>
  <c r="N44" i="1"/>
  <c r="M44" i="1"/>
  <c r="V43" i="1"/>
  <c r="U43" i="1"/>
  <c r="T43" i="1"/>
  <c r="S43" i="1"/>
  <c r="R43" i="1"/>
  <c r="Q43" i="1"/>
  <c r="O43" i="1"/>
  <c r="N43" i="1"/>
  <c r="P43" i="1" s="1"/>
  <c r="X43" i="1" s="1"/>
  <c r="M43" i="1"/>
  <c r="V42" i="1"/>
  <c r="U42" i="1"/>
  <c r="T42" i="1"/>
  <c r="S42" i="1"/>
  <c r="R42" i="1"/>
  <c r="X42" i="1" s="1"/>
  <c r="Q42" i="1"/>
  <c r="P42" i="1"/>
  <c r="O42" i="1"/>
  <c r="N42" i="1"/>
  <c r="M42" i="1"/>
  <c r="V41" i="1"/>
  <c r="U41" i="1"/>
  <c r="T41" i="1"/>
  <c r="S41" i="1"/>
  <c r="R41" i="1"/>
  <c r="Q41" i="1"/>
  <c r="O41" i="1"/>
  <c r="P41" i="1" s="1"/>
  <c r="X41" i="1" s="1"/>
  <c r="N41" i="1"/>
  <c r="M41" i="1"/>
  <c r="V40" i="1"/>
  <c r="U40" i="1"/>
  <c r="T40" i="1"/>
  <c r="S40" i="1"/>
  <c r="R40" i="1"/>
  <c r="Q40" i="1"/>
  <c r="P40" i="1"/>
  <c r="X40" i="1" s="1"/>
  <c r="O40" i="1"/>
  <c r="N40" i="1"/>
  <c r="M40" i="1"/>
  <c r="V39" i="1"/>
  <c r="U39" i="1"/>
  <c r="T39" i="1"/>
  <c r="S39" i="1"/>
  <c r="R39" i="1"/>
  <c r="Q39" i="1"/>
  <c r="O39" i="1"/>
  <c r="P39" i="1" s="1"/>
  <c r="X39" i="1" s="1"/>
  <c r="N39" i="1"/>
  <c r="M39" i="1"/>
  <c r="V38" i="1"/>
  <c r="U38" i="1"/>
  <c r="T38" i="1"/>
  <c r="S38" i="1"/>
  <c r="R38" i="1"/>
  <c r="Q38" i="1"/>
  <c r="O38" i="1"/>
  <c r="P38" i="1" s="1"/>
  <c r="X38" i="1" s="1"/>
  <c r="N38" i="1"/>
  <c r="M38" i="1"/>
  <c r="V37" i="1"/>
  <c r="U37" i="1"/>
  <c r="T37" i="1"/>
  <c r="S37" i="1"/>
  <c r="R37" i="1"/>
  <c r="Q37" i="1"/>
  <c r="O37" i="1"/>
  <c r="N37" i="1"/>
  <c r="P37" i="1" s="1"/>
  <c r="X37" i="1" s="1"/>
  <c r="M37" i="1"/>
  <c r="V36" i="1"/>
  <c r="U36" i="1"/>
  <c r="T36" i="1"/>
  <c r="S36" i="1"/>
  <c r="R36" i="1"/>
  <c r="Q36" i="1"/>
  <c r="P36" i="1"/>
  <c r="X36" i="1" s="1"/>
  <c r="O36" i="1"/>
  <c r="N36" i="1"/>
  <c r="M36" i="1"/>
  <c r="X35" i="1"/>
  <c r="V35" i="1"/>
  <c r="U35" i="1"/>
  <c r="T35" i="1"/>
  <c r="S35" i="1"/>
  <c r="R35" i="1"/>
  <c r="Q35" i="1"/>
  <c r="P35" i="1"/>
  <c r="O35" i="1"/>
  <c r="N35" i="1"/>
  <c r="M35" i="1"/>
  <c r="V34" i="1"/>
  <c r="U34" i="1"/>
  <c r="T34" i="1"/>
  <c r="S34" i="1"/>
  <c r="R34" i="1"/>
  <c r="Q34" i="1"/>
  <c r="O34" i="1"/>
  <c r="P34" i="1" s="1"/>
  <c r="X34" i="1" s="1"/>
  <c r="N34" i="1"/>
  <c r="M34" i="1"/>
  <c r="V33" i="1"/>
  <c r="U33" i="1"/>
  <c r="T33" i="1"/>
  <c r="S33" i="1"/>
  <c r="R33" i="1"/>
  <c r="Q33" i="1"/>
  <c r="O33" i="1"/>
  <c r="N33" i="1"/>
  <c r="P33" i="1" s="1"/>
  <c r="X33" i="1" s="1"/>
  <c r="M33" i="1"/>
  <c r="V32" i="1"/>
  <c r="U32" i="1"/>
  <c r="T32" i="1"/>
  <c r="S32" i="1"/>
  <c r="R32" i="1"/>
  <c r="Q32" i="1"/>
  <c r="O32" i="1"/>
  <c r="P32" i="1" s="1"/>
  <c r="X32" i="1" s="1"/>
  <c r="N32" i="1"/>
  <c r="M32" i="1"/>
  <c r="V31" i="1"/>
  <c r="U31" i="1"/>
  <c r="T31" i="1"/>
  <c r="S31" i="1"/>
  <c r="R31" i="1"/>
  <c r="Q31" i="1"/>
  <c r="O31" i="1"/>
  <c r="N31" i="1"/>
  <c r="P31" i="1" s="1"/>
  <c r="X31" i="1" s="1"/>
  <c r="M31" i="1"/>
  <c r="V30" i="1"/>
  <c r="U30" i="1"/>
  <c r="T30" i="1"/>
  <c r="S30" i="1"/>
  <c r="R30" i="1"/>
  <c r="X30" i="1" s="1"/>
  <c r="Q30" i="1"/>
  <c r="P30" i="1"/>
  <c r="O30" i="1"/>
  <c r="N30" i="1"/>
  <c r="M30" i="1"/>
  <c r="V29" i="1"/>
  <c r="U29" i="1"/>
  <c r="T29" i="1"/>
  <c r="S29" i="1"/>
  <c r="R29" i="1"/>
  <c r="Q29" i="1"/>
  <c r="O29" i="1"/>
  <c r="P29" i="1" s="1"/>
  <c r="X29" i="1" s="1"/>
  <c r="N29" i="1"/>
  <c r="M29" i="1"/>
  <c r="V28" i="1"/>
  <c r="U28" i="1"/>
  <c r="T28" i="1"/>
  <c r="S28" i="1"/>
  <c r="R28" i="1"/>
  <c r="Q28" i="1"/>
  <c r="P28" i="1"/>
  <c r="X28" i="1" s="1"/>
  <c r="O28" i="1"/>
  <c r="N28" i="1"/>
  <c r="M28" i="1"/>
  <c r="V27" i="1"/>
  <c r="U27" i="1"/>
  <c r="T27" i="1"/>
  <c r="S27" i="1"/>
  <c r="R27" i="1"/>
  <c r="Q27" i="1"/>
  <c r="O27" i="1"/>
  <c r="P27" i="1" s="1"/>
  <c r="X27" i="1" s="1"/>
  <c r="N27" i="1"/>
  <c r="M27" i="1"/>
  <c r="V26" i="1"/>
  <c r="U26" i="1"/>
  <c r="T26" i="1"/>
  <c r="S26" i="1"/>
  <c r="R26" i="1"/>
  <c r="Q26" i="1"/>
  <c r="O26" i="1"/>
  <c r="P26" i="1" s="1"/>
  <c r="X26" i="1" s="1"/>
  <c r="N26" i="1"/>
  <c r="M26" i="1"/>
  <c r="V25" i="1"/>
  <c r="U25" i="1"/>
  <c r="T25" i="1"/>
  <c r="S25" i="1"/>
  <c r="R25" i="1"/>
  <c r="Q25" i="1"/>
  <c r="O25" i="1"/>
  <c r="N25" i="1"/>
  <c r="P25" i="1" s="1"/>
  <c r="X25" i="1" s="1"/>
  <c r="M25" i="1"/>
  <c r="J22" i="1"/>
  <c r="I22" i="1"/>
  <c r="H22" i="1"/>
  <c r="G22" i="1"/>
</calcChain>
</file>

<file path=xl/sharedStrings.xml><?xml version="1.0" encoding="utf-8"?>
<sst xmlns="http://schemas.openxmlformats.org/spreadsheetml/2006/main" count="921" uniqueCount="689">
  <si>
    <t>Submitter's TIN</t>
  </si>
  <si>
    <t>Submitter's Name</t>
  </si>
  <si>
    <t>Submitter's Address</t>
  </si>
  <si>
    <t>Year</t>
  </si>
  <si>
    <t>Periods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</si>
  <si>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</si>
  <si>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</si>
  <si>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</si>
  <si>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</si>
  <si>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</si>
  <si>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</si>
  <si>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</si>
  <si>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</si>
  <si>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</si>
  <si>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</si>
  <si>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</si>
  <si>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</si>
  <si>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Period</t>
  </si>
  <si>
    <t>Totals</t>
  </si>
  <si>
    <t>TIN</t>
  </si>
  <si>
    <t>Config</t>
  </si>
  <si>
    <t>Help completing this form:</t>
  </si>
  <si>
    <t>Complete the details below of the taxpayer and tax period this return is to be filed for.</t>
  </si>
  <si>
    <t>Complete the details below:</t>
  </si>
  <si>
    <t>EmptyRow</t>
  </si>
  <si>
    <t>IsRowValid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</si>
  <si>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</si>
  <si>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</si>
  <si>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</si>
  <si>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</si>
  <si>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</si>
  <si>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</si>
  <si>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</si>
  <si>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</si>
  <si>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</si>
  <si>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</si>
  <si>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</si>
  <si>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YesNo</t>
  </si>
  <si>
    <t>Yes</t>
  </si>
  <si>
    <t>No</t>
  </si>
  <si>
    <t>January - December</t>
  </si>
  <si>
    <t>Jan-Dec</t>
  </si>
  <si>
    <t>Employee Details</t>
  </si>
  <si>
    <t>TinSpecified</t>
  </si>
  <si>
    <t>Belize Tax Services</t>
  </si>
  <si>
    <t>Taxpayer Name</t>
  </si>
  <si>
    <t>Social Security Number</t>
  </si>
  <si>
    <t>Number of Weeks Employed</t>
  </si>
  <si>
    <t>Total Emoluments</t>
  </si>
  <si>
    <t>Taxable Benefits</t>
  </si>
  <si>
    <t>Commissions</t>
  </si>
  <si>
    <t>Tax Withheld</t>
  </si>
  <si>
    <t>ValidTaxWithheldAmt</t>
  </si>
  <si>
    <t>ValidCommissionsAmt</t>
  </si>
  <si>
    <t>ValidTaxableBenefitsAmt</t>
  </si>
  <si>
    <t>ValidTotalEmolumentsAmt</t>
  </si>
  <si>
    <t>ValidNumWeeksEmployed</t>
  </si>
  <si>
    <t>EmployeeTIN:TIN</t>
  </si>
  <si>
    <t>EmployeeTIN:Name</t>
  </si>
  <si>
    <t>PAYE</t>
  </si>
  <si>
    <t>PAYE  - Employee Details</t>
  </si>
  <si>
    <t>NumberOfWeeks</t>
  </si>
  <si>
    <t>Social Security numb</t>
  </si>
  <si>
    <t>Upload form | Valid from January 2020</t>
  </si>
  <si>
    <t>NameSpecified</t>
  </si>
  <si>
    <t>TinOrNameSpecified</t>
  </si>
  <si>
    <t>AcceptTinOrName</t>
  </si>
  <si>
    <t>- A TIN or a name is required for each row.
- TINs must be entered in the following format: ###### e.g. 123456.
- Ensure that there are no red flags, indicating missing or invalid data on rows.
- Once completed, you can file this return online.</t>
  </si>
  <si>
    <t>Passport</t>
  </si>
  <si>
    <t>Passport Number</t>
  </si>
  <si>
    <t>005262</t>
  </si>
  <si>
    <t>Chaa Creek Ltd.</t>
  </si>
  <si>
    <t>77 Burns Avenue</t>
  </si>
  <si>
    <t>2026</t>
  </si>
  <si>
    <t>065042</t>
  </si>
  <si>
    <t>Jose Aguirres</t>
  </si>
  <si>
    <t>000100203</t>
  </si>
  <si>
    <t/>
  </si>
  <si>
    <t>330535</t>
  </si>
  <si>
    <t>Joshua Alvarez</t>
  </si>
  <si>
    <t>000406745</t>
  </si>
  <si>
    <t>107402</t>
  </si>
  <si>
    <t>LLoyd Alvarez</t>
  </si>
  <si>
    <t>000207112</t>
  </si>
  <si>
    <t>118925</t>
  </si>
  <si>
    <t>Mayra Alvarez</t>
  </si>
  <si>
    <t>000401789</t>
  </si>
  <si>
    <t>329625</t>
  </si>
  <si>
    <t>Waldemar Alvarez</t>
  </si>
  <si>
    <t>000395616</t>
  </si>
  <si>
    <t>079088</t>
  </si>
  <si>
    <t>Arlene August</t>
  </si>
  <si>
    <t>000186448</t>
  </si>
  <si>
    <t>061269</t>
  </si>
  <si>
    <t>Christine August</t>
  </si>
  <si>
    <t>000208586</t>
  </si>
  <si>
    <t>322157</t>
  </si>
  <si>
    <t>Alejandro Wiltshire</t>
  </si>
  <si>
    <t>000369662</t>
  </si>
  <si>
    <t>243974</t>
  </si>
  <si>
    <t>Oscar Avella</t>
  </si>
  <si>
    <t>000367410</t>
  </si>
  <si>
    <t>329971</t>
  </si>
  <si>
    <t>Kenry Awe</t>
  </si>
  <si>
    <t>000403891</t>
  </si>
  <si>
    <t>203528</t>
  </si>
  <si>
    <t>Daniel Ayala</t>
  </si>
  <si>
    <t>000404295</t>
  </si>
  <si>
    <t>210310</t>
  </si>
  <si>
    <t>Maria Balona Godoy</t>
  </si>
  <si>
    <t>000403021</t>
  </si>
  <si>
    <t>319827</t>
  </si>
  <si>
    <t>Sanjay Betancourt</t>
  </si>
  <si>
    <t>000409485</t>
  </si>
  <si>
    <t>160189</t>
  </si>
  <si>
    <t>Alvan Bodden</t>
  </si>
  <si>
    <t>000194149</t>
  </si>
  <si>
    <t>053829</t>
  </si>
  <si>
    <t>Emil Bradley</t>
  </si>
  <si>
    <t>000114137</t>
  </si>
  <si>
    <t>353358</t>
  </si>
  <si>
    <t>Alexander Caldéron</t>
  </si>
  <si>
    <t>000451361</t>
  </si>
  <si>
    <t>211242</t>
  </si>
  <si>
    <t>Adrian Caliz</t>
  </si>
  <si>
    <t>000215973</t>
  </si>
  <si>
    <t>269577</t>
  </si>
  <si>
    <t>Melvin Camal</t>
  </si>
  <si>
    <t>000506272</t>
  </si>
  <si>
    <t>378135</t>
  </si>
  <si>
    <t>Tashiana Campos</t>
  </si>
  <si>
    <t>000284420</t>
  </si>
  <si>
    <t>222448</t>
  </si>
  <si>
    <t>Ana Can</t>
  </si>
  <si>
    <t>000455232</t>
  </si>
  <si>
    <t>162485</t>
  </si>
  <si>
    <t>Gloria Can</t>
  </si>
  <si>
    <t>000060927</t>
  </si>
  <si>
    <t>239529</t>
  </si>
  <si>
    <t>Esdra Canto</t>
  </si>
  <si>
    <t>000452079</t>
  </si>
  <si>
    <t>163098</t>
  </si>
  <si>
    <t>Miguel Canto</t>
  </si>
  <si>
    <t>000454668</t>
  </si>
  <si>
    <t>261768</t>
  </si>
  <si>
    <t>Elena Cao</t>
  </si>
  <si>
    <t>000506788</t>
  </si>
  <si>
    <t>127396</t>
  </si>
  <si>
    <t>Miriam Carrias</t>
  </si>
  <si>
    <t>000402323</t>
  </si>
  <si>
    <t>061210</t>
  </si>
  <si>
    <t>Gilbert Carrillo</t>
  </si>
  <si>
    <t>000214246</t>
  </si>
  <si>
    <t>065162</t>
  </si>
  <si>
    <t>Perlita Carrillo</t>
  </si>
  <si>
    <t>000107980</t>
  </si>
  <si>
    <t>082419</t>
  </si>
  <si>
    <t>Darrillo Chaman</t>
  </si>
  <si>
    <t>000091597</t>
  </si>
  <si>
    <t>361408</t>
  </si>
  <si>
    <t>Ajaan Chan</t>
  </si>
  <si>
    <t>000578414</t>
  </si>
  <si>
    <t>000000</t>
  </si>
  <si>
    <t>Mark Chan</t>
  </si>
  <si>
    <t>000531185</t>
  </si>
  <si>
    <t>345373</t>
  </si>
  <si>
    <t>Virgilia Chiac</t>
  </si>
  <si>
    <t>000112890</t>
  </si>
  <si>
    <t>036568</t>
  </si>
  <si>
    <t>Miguel Choco</t>
  </si>
  <si>
    <t>000050239</t>
  </si>
  <si>
    <t>227334</t>
  </si>
  <si>
    <t>Ryan Coc</t>
  </si>
  <si>
    <t>000406767</t>
  </si>
  <si>
    <t>238084</t>
  </si>
  <si>
    <t>Francisco Corea Brizuela</t>
  </si>
  <si>
    <t>000533999</t>
  </si>
  <si>
    <t>241811</t>
  </si>
  <si>
    <t>Ivonne Cowo</t>
  </si>
  <si>
    <t>000279755</t>
  </si>
  <si>
    <t>256001</t>
  </si>
  <si>
    <t>Kenya  Dawson</t>
  </si>
  <si>
    <t>000451548</t>
  </si>
  <si>
    <t>201278</t>
  </si>
  <si>
    <t>Eluvina Del Cid</t>
  </si>
  <si>
    <t>000107839</t>
  </si>
  <si>
    <t>092727</t>
  </si>
  <si>
    <t>Loncey Emmanuel</t>
  </si>
  <si>
    <t>000265048</t>
  </si>
  <si>
    <t>100282</t>
  </si>
  <si>
    <t>Abner Escobar</t>
  </si>
  <si>
    <t>000454687</t>
  </si>
  <si>
    <t>260793</t>
  </si>
  <si>
    <t>Abner Figueroa</t>
  </si>
  <si>
    <t>000580888</t>
  </si>
  <si>
    <t>329650</t>
  </si>
  <si>
    <t>Alexandra Frutos</t>
  </si>
  <si>
    <t>000530605</t>
  </si>
  <si>
    <t>133023</t>
  </si>
  <si>
    <t>Marta Frutos</t>
  </si>
  <si>
    <t>000451050</t>
  </si>
  <si>
    <t>201313</t>
  </si>
  <si>
    <t>Argentina Galeano</t>
  </si>
  <si>
    <t>000408596</t>
  </si>
  <si>
    <t>201554</t>
  </si>
  <si>
    <t>Yonie Garcia</t>
  </si>
  <si>
    <t>000505069</t>
  </si>
  <si>
    <t>363262</t>
  </si>
  <si>
    <t>Cinthia Garnett</t>
  </si>
  <si>
    <t>000404345</t>
  </si>
  <si>
    <t>111987</t>
  </si>
  <si>
    <t>Brent Gladden</t>
  </si>
  <si>
    <t>000187678</t>
  </si>
  <si>
    <t>330088</t>
  </si>
  <si>
    <t>Rodolfo Godoy</t>
  </si>
  <si>
    <t>000408500</t>
  </si>
  <si>
    <t>345155</t>
  </si>
  <si>
    <t>Luis Gomez</t>
  </si>
  <si>
    <t>000455557</t>
  </si>
  <si>
    <t>289950</t>
  </si>
  <si>
    <t>Anthony Gongora</t>
  </si>
  <si>
    <t>000455321</t>
  </si>
  <si>
    <t>269469</t>
  </si>
  <si>
    <t>Kevin Guerra</t>
  </si>
  <si>
    <t>000506295</t>
  </si>
  <si>
    <t>087137</t>
  </si>
  <si>
    <t>Leandro Guerra</t>
  </si>
  <si>
    <t>000066283</t>
  </si>
  <si>
    <t>204436</t>
  </si>
  <si>
    <t>Lydia Guerra</t>
  </si>
  <si>
    <t>000212023</t>
  </si>
  <si>
    <t>068186</t>
  </si>
  <si>
    <t>Mario Guerra</t>
  </si>
  <si>
    <t>000169696</t>
  </si>
  <si>
    <t>320497</t>
  </si>
  <si>
    <t>Quianna Guzman</t>
  </si>
  <si>
    <t>000405786</t>
  </si>
  <si>
    <t>199794</t>
  </si>
  <si>
    <t>Sara Guzman</t>
  </si>
  <si>
    <t>000084743</t>
  </si>
  <si>
    <t>269583</t>
  </si>
  <si>
    <t>Anselmo Harris</t>
  </si>
  <si>
    <t>000041268</t>
  </si>
  <si>
    <t>244068</t>
  </si>
  <si>
    <t>Ryan Hernandez</t>
  </si>
  <si>
    <t>000505772</t>
  </si>
  <si>
    <t>172382</t>
  </si>
  <si>
    <t>Vilma Higueros</t>
  </si>
  <si>
    <t>000206734</t>
  </si>
  <si>
    <t>378643</t>
  </si>
  <si>
    <t>Johnny Hines</t>
  </si>
  <si>
    <t>000618552</t>
  </si>
  <si>
    <t>043262</t>
  </si>
  <si>
    <t>Julio Hob</t>
  </si>
  <si>
    <t>000052709</t>
  </si>
  <si>
    <t>345744</t>
  </si>
  <si>
    <t>Patricia Hob</t>
  </si>
  <si>
    <t>000215307</t>
  </si>
  <si>
    <t>329629</t>
  </si>
  <si>
    <t>Rony Hob</t>
  </si>
  <si>
    <t>000531894</t>
  </si>
  <si>
    <t>199789</t>
  </si>
  <si>
    <t>Emilio Howe</t>
  </si>
  <si>
    <t>000211216</t>
  </si>
  <si>
    <t>145757</t>
  </si>
  <si>
    <t>Rodney Howe</t>
  </si>
  <si>
    <t>000409159</t>
  </si>
  <si>
    <t>134959</t>
  </si>
  <si>
    <t>Carmita Jones</t>
  </si>
  <si>
    <t>000075251</t>
  </si>
  <si>
    <t>329754</t>
  </si>
  <si>
    <t>Sandra Jones</t>
  </si>
  <si>
    <t>000205549</t>
  </si>
  <si>
    <t>043240</t>
  </si>
  <si>
    <t>Francelia Juarez</t>
  </si>
  <si>
    <t>000038442</t>
  </si>
  <si>
    <t>043237</t>
  </si>
  <si>
    <t>Oswaldo Juarez</t>
  </si>
  <si>
    <t>000206832</t>
  </si>
  <si>
    <t>036459</t>
  </si>
  <si>
    <t>Teodosio Juarez</t>
  </si>
  <si>
    <t>000019244</t>
  </si>
  <si>
    <t>122270</t>
  </si>
  <si>
    <t>Omar Ku</t>
  </si>
  <si>
    <t>000267938</t>
  </si>
  <si>
    <t>142482</t>
  </si>
  <si>
    <t>Daren Lamb</t>
  </si>
  <si>
    <t>000406665</t>
  </si>
  <si>
    <t>199741</t>
  </si>
  <si>
    <t>Ermain Leon</t>
  </si>
  <si>
    <t>000404050</t>
  </si>
  <si>
    <t>332080</t>
  </si>
  <si>
    <t>Orion Lind</t>
  </si>
  <si>
    <t>000453339</t>
  </si>
  <si>
    <t>378019</t>
  </si>
  <si>
    <t>Marelyn Lopez</t>
  </si>
  <si>
    <t>000407943</t>
  </si>
  <si>
    <t>231621</t>
  </si>
  <si>
    <t>Toshi Lotiff</t>
  </si>
  <si>
    <t>000459128</t>
  </si>
  <si>
    <t>074289</t>
  </si>
  <si>
    <t>Luis Mai</t>
  </si>
  <si>
    <t>000402964</t>
  </si>
  <si>
    <t>036554</t>
  </si>
  <si>
    <t>Baldemir Manzanero</t>
  </si>
  <si>
    <t>000002743</t>
  </si>
  <si>
    <t>325504</t>
  </si>
  <si>
    <t>Christopher Manzanero</t>
  </si>
  <si>
    <t>000452452</t>
  </si>
  <si>
    <t>137345</t>
  </si>
  <si>
    <t>Darwin Manzanero</t>
  </si>
  <si>
    <t>000506431</t>
  </si>
  <si>
    <t>345147</t>
  </si>
  <si>
    <t>Domingo Manzanero</t>
  </si>
  <si>
    <t>000458735</t>
  </si>
  <si>
    <t>170873</t>
  </si>
  <si>
    <t>Shenny Manzanero Awe</t>
  </si>
  <si>
    <t>000450856</t>
  </si>
  <si>
    <t>361406</t>
  </si>
  <si>
    <t>Wilmer Manzanero</t>
  </si>
  <si>
    <t>000531370</t>
  </si>
  <si>
    <t>222451</t>
  </si>
  <si>
    <t>Kevlin Mar</t>
  </si>
  <si>
    <t>000504436</t>
  </si>
  <si>
    <t>378037</t>
  </si>
  <si>
    <t>Julianie Martinez</t>
  </si>
  <si>
    <t>000454811</t>
  </si>
  <si>
    <t>353350</t>
  </si>
  <si>
    <t>Tom Martinez</t>
  </si>
  <si>
    <t>000455313</t>
  </si>
  <si>
    <t>362387</t>
  </si>
  <si>
    <t>Tayshaun Meighan</t>
  </si>
  <si>
    <t>000602813</t>
  </si>
  <si>
    <t>096388</t>
  </si>
  <si>
    <t>Gilbert Melendez</t>
  </si>
  <si>
    <t>000269044</t>
  </si>
  <si>
    <t>361412</t>
  </si>
  <si>
    <t>Jaheem Melendez</t>
  </si>
  <si>
    <t>000509200</t>
  </si>
  <si>
    <t>193507</t>
  </si>
  <si>
    <t>Eric Mendez</t>
  </si>
  <si>
    <t>000369691</t>
  </si>
  <si>
    <t>269579</t>
  </si>
  <si>
    <t>Ermain Mesh</t>
  </si>
  <si>
    <t>000452076</t>
  </si>
  <si>
    <t>043253</t>
  </si>
  <si>
    <t>David Montalvan</t>
  </si>
  <si>
    <t>000091654</t>
  </si>
  <si>
    <t>068189</t>
  </si>
  <si>
    <t>Fanita Montalvan</t>
  </si>
  <si>
    <t>000455287</t>
  </si>
  <si>
    <t>201545</t>
  </si>
  <si>
    <t>Jesmin Montalvan</t>
  </si>
  <si>
    <t>000400307</t>
  </si>
  <si>
    <t>227331</t>
  </si>
  <si>
    <t>Keri Montalvan</t>
  </si>
  <si>
    <t>000400306</t>
  </si>
  <si>
    <t>345146</t>
  </si>
  <si>
    <t>Edvin Morales</t>
  </si>
  <si>
    <t>000506040</t>
  </si>
  <si>
    <t>361405</t>
  </si>
  <si>
    <t>Selvin Moralez JR.</t>
  </si>
  <si>
    <t>000506511</t>
  </si>
  <si>
    <t>173888</t>
  </si>
  <si>
    <t>Alex Naj</t>
  </si>
  <si>
    <t>000456837</t>
  </si>
  <si>
    <t>204224</t>
  </si>
  <si>
    <t>Goan Naj</t>
  </si>
  <si>
    <t>000456843</t>
  </si>
  <si>
    <t>173889</t>
  </si>
  <si>
    <t>Angel Najarro</t>
  </si>
  <si>
    <t>000454716</t>
  </si>
  <si>
    <t>222444</t>
  </si>
  <si>
    <t>Jake Obando</t>
  </si>
  <si>
    <t>000211834</t>
  </si>
  <si>
    <t>241673</t>
  </si>
  <si>
    <t>Seleni Oliva</t>
  </si>
  <si>
    <t>000506426</t>
  </si>
  <si>
    <t>122281</t>
  </si>
  <si>
    <t>Elsi Pacheco</t>
  </si>
  <si>
    <t>000450786</t>
  </si>
  <si>
    <t>205345</t>
  </si>
  <si>
    <t>Gilbert Pandy</t>
  </si>
  <si>
    <t>000210322</t>
  </si>
  <si>
    <t>353346</t>
  </si>
  <si>
    <t>Edric Panti</t>
  </si>
  <si>
    <t>000453752</t>
  </si>
  <si>
    <t>319310</t>
  </si>
  <si>
    <t>Maverick Panti</t>
  </si>
  <si>
    <t>000452722</t>
  </si>
  <si>
    <t>319370</t>
  </si>
  <si>
    <t>Anivar Pech</t>
  </si>
  <si>
    <t>000214179</t>
  </si>
  <si>
    <t>085581</t>
  </si>
  <si>
    <t>Freddy Pech</t>
  </si>
  <si>
    <t>000210487</t>
  </si>
  <si>
    <t>162501</t>
  </si>
  <si>
    <t>Leidi Pech</t>
  </si>
  <si>
    <t>000406083</t>
  </si>
  <si>
    <t>162503</t>
  </si>
  <si>
    <t>Lorna Pech</t>
  </si>
  <si>
    <t>000406086</t>
  </si>
  <si>
    <t>201541</t>
  </si>
  <si>
    <t>Soraida Polanco</t>
  </si>
  <si>
    <t>000319037</t>
  </si>
  <si>
    <t>361403</t>
  </si>
  <si>
    <t>Randy Puc</t>
  </si>
  <si>
    <t>000407110</t>
  </si>
  <si>
    <t>200559</t>
  </si>
  <si>
    <t>Raymond Puc</t>
  </si>
  <si>
    <t>000452853</t>
  </si>
  <si>
    <t>236779</t>
  </si>
  <si>
    <t>Ivan Quiroz</t>
  </si>
  <si>
    <t>000506691</t>
  </si>
  <si>
    <t>200742</t>
  </si>
  <si>
    <t>Edvin Ramos Salinas</t>
  </si>
  <si>
    <t>000457155</t>
  </si>
  <si>
    <t>079349</t>
  </si>
  <si>
    <t>Eduardo Requena</t>
  </si>
  <si>
    <t>000208989</t>
  </si>
  <si>
    <t>188781</t>
  </si>
  <si>
    <t>Gilroy Requena</t>
  </si>
  <si>
    <t>000089752</t>
  </si>
  <si>
    <t>132964</t>
  </si>
  <si>
    <t>Abner Reyes</t>
  </si>
  <si>
    <t>000402078</t>
  </si>
  <si>
    <t>322444</t>
  </si>
  <si>
    <t>Jose Rivera</t>
  </si>
  <si>
    <t>000509671</t>
  </si>
  <si>
    <t>044935</t>
  </si>
  <si>
    <t>José  Rodríguez</t>
  </si>
  <si>
    <t>000267875</t>
  </si>
  <si>
    <t>319368</t>
  </si>
  <si>
    <t>Alfredo Rosales Argueta</t>
  </si>
  <si>
    <t>000456282</t>
  </si>
  <si>
    <t>379335</t>
  </si>
  <si>
    <t>Jahid  Ruiz</t>
  </si>
  <si>
    <t>000450496</t>
  </si>
  <si>
    <t>243970</t>
  </si>
  <si>
    <t>Joshua Salazar</t>
  </si>
  <si>
    <t>000455452</t>
  </si>
  <si>
    <t>087145</t>
  </si>
  <si>
    <t>Noe Santos</t>
  </si>
  <si>
    <t>000210705</t>
  </si>
  <si>
    <t>182251</t>
  </si>
  <si>
    <t>Emil Segura</t>
  </si>
  <si>
    <t>000408328</t>
  </si>
  <si>
    <t>345109</t>
  </si>
  <si>
    <t>Lorena Shish</t>
  </si>
  <si>
    <t>000404927</t>
  </si>
  <si>
    <t>319369</t>
  </si>
  <si>
    <t>Andony Solis</t>
  </si>
  <si>
    <t>000505500</t>
  </si>
  <si>
    <t>052478</t>
  </si>
  <si>
    <t>Amelio Solorzano</t>
  </si>
  <si>
    <t>000014106</t>
  </si>
  <si>
    <t>122271</t>
  </si>
  <si>
    <t>Julio Sosa</t>
  </si>
  <si>
    <t>000058662</t>
  </si>
  <si>
    <t>170579</t>
  </si>
  <si>
    <t>Candida Suarez</t>
  </si>
  <si>
    <t>000209966</t>
  </si>
  <si>
    <t>171825</t>
  </si>
  <si>
    <t>Leonso Teck Jr.</t>
  </si>
  <si>
    <t>000401624</t>
  </si>
  <si>
    <t>063022</t>
  </si>
  <si>
    <t>Alexie Trujillo</t>
  </si>
  <si>
    <t>000206407</t>
  </si>
  <si>
    <t>345156</t>
  </si>
  <si>
    <t>Kenroy Trujillo</t>
  </si>
  <si>
    <t>000400646</t>
  </si>
  <si>
    <t>353347</t>
  </si>
  <si>
    <t>Nathan Trujillo</t>
  </si>
  <si>
    <t>000212180</t>
  </si>
  <si>
    <t>199802</t>
  </si>
  <si>
    <t>Maria Tun</t>
  </si>
  <si>
    <t>000100088</t>
  </si>
  <si>
    <t>098533</t>
  </si>
  <si>
    <t>Banny Tut</t>
  </si>
  <si>
    <t>000211005</t>
  </si>
  <si>
    <t>043264</t>
  </si>
  <si>
    <t>Eliberto Tut</t>
  </si>
  <si>
    <t>000210743</t>
  </si>
  <si>
    <t>043265</t>
  </si>
  <si>
    <t>Alice Tzib</t>
  </si>
  <si>
    <t>000208681</t>
  </si>
  <si>
    <t>087146</t>
  </si>
  <si>
    <t>Andres Tzib</t>
  </si>
  <si>
    <t>000004105</t>
  </si>
  <si>
    <t>087148</t>
  </si>
  <si>
    <t>Catalina Tzib</t>
  </si>
  <si>
    <t>000402495</t>
  </si>
  <si>
    <t>107399</t>
  </si>
  <si>
    <t>Luis Tzib</t>
  </si>
  <si>
    <t>000211057</t>
  </si>
  <si>
    <t>144321</t>
  </si>
  <si>
    <t>Nelson Tzib</t>
  </si>
  <si>
    <t>000270256</t>
  </si>
  <si>
    <t>244067</t>
  </si>
  <si>
    <t>Ramiro Tzib</t>
  </si>
  <si>
    <t>000211121</t>
  </si>
  <si>
    <t>345150</t>
  </si>
  <si>
    <t>Romelio Tzib</t>
  </si>
  <si>
    <t>000402718</t>
  </si>
  <si>
    <t>178789</t>
  </si>
  <si>
    <t>Roy Tzib</t>
  </si>
  <si>
    <t>000210096</t>
  </si>
  <si>
    <t>362389</t>
  </si>
  <si>
    <t>Yanri Tzib</t>
  </si>
  <si>
    <t>000607044</t>
  </si>
  <si>
    <t>243960</t>
  </si>
  <si>
    <t>Damaris Uck</t>
  </si>
  <si>
    <t>000530223</t>
  </si>
  <si>
    <t>361409</t>
  </si>
  <si>
    <t>Edgar Uck</t>
  </si>
  <si>
    <t>000507721</t>
  </si>
  <si>
    <t>150773</t>
  </si>
  <si>
    <t>Marco Uck</t>
  </si>
  <si>
    <t>000452225</t>
  </si>
  <si>
    <t>328432</t>
  </si>
  <si>
    <t>Omar Uck</t>
  </si>
  <si>
    <t>000406180</t>
  </si>
  <si>
    <t>088532</t>
  </si>
  <si>
    <t>Rene Uck</t>
  </si>
  <si>
    <t>000406442</t>
  </si>
  <si>
    <t>111090</t>
  </si>
  <si>
    <t>Saul Uck</t>
  </si>
  <si>
    <t>000207998</t>
  </si>
  <si>
    <t>178680</t>
  </si>
  <si>
    <t>Luis Uk</t>
  </si>
  <si>
    <t>000451709</t>
  </si>
  <si>
    <t>269478</t>
  </si>
  <si>
    <t>Christy Valdez</t>
  </si>
  <si>
    <t>000452759</t>
  </si>
  <si>
    <t>201543</t>
  </si>
  <si>
    <t>Maria Valdez</t>
  </si>
  <si>
    <t>000084736</t>
  </si>
  <si>
    <t>092325</t>
  </si>
  <si>
    <t>Jaime Valladarez</t>
  </si>
  <si>
    <t>000406867</t>
  </si>
  <si>
    <t>380825</t>
  </si>
  <si>
    <t>Braulio Vasquez</t>
  </si>
  <si>
    <t>000407892</t>
  </si>
  <si>
    <t>068195</t>
  </si>
  <si>
    <t>Larry Vasquez</t>
  </si>
  <si>
    <t>000209108</t>
  </si>
  <si>
    <t>150772</t>
  </si>
  <si>
    <t>Teddy Vasquez</t>
  </si>
  <si>
    <t>000403429</t>
  </si>
  <si>
    <t>082491</t>
  </si>
  <si>
    <t>Miguel Vasquez</t>
  </si>
  <si>
    <t>000215062</t>
  </si>
  <si>
    <t>043269</t>
  </si>
  <si>
    <t>Rolando Waight</t>
  </si>
  <si>
    <t>000097679</t>
  </si>
  <si>
    <t>330942</t>
  </si>
  <si>
    <t>Walter Williams</t>
  </si>
  <si>
    <t>000455491</t>
  </si>
  <si>
    <t>134972</t>
  </si>
  <si>
    <t>Brandon Wiltshire</t>
  </si>
  <si>
    <t>000451761</t>
  </si>
  <si>
    <t>087139</t>
  </si>
  <si>
    <t>Selvin Wiltshire</t>
  </si>
  <si>
    <t>000208382</t>
  </si>
  <si>
    <t>134973</t>
  </si>
  <si>
    <t>Brion Young</t>
  </si>
  <si>
    <t>000066061</t>
  </si>
  <si>
    <t>269480</t>
  </si>
  <si>
    <t>Yasir Zuniga</t>
  </si>
  <si>
    <t>000215415</t>
  </si>
  <si>
    <t>378018</t>
  </si>
  <si>
    <t>Marita Tzib</t>
  </si>
  <si>
    <t>000508162</t>
  </si>
  <si>
    <t>326224</t>
  </si>
  <si>
    <t>Ernesto Wiltshire</t>
  </si>
  <si>
    <t>000388131</t>
  </si>
  <si>
    <t>361312</t>
  </si>
  <si>
    <t>Emrece Rodriguez</t>
  </si>
  <si>
    <t>000403117</t>
  </si>
  <si>
    <t>378278</t>
  </si>
  <si>
    <t>Neftaly Canto</t>
  </si>
  <si>
    <t>000585530</t>
  </si>
  <si>
    <t>377837</t>
  </si>
  <si>
    <t>Jair Jimenez</t>
  </si>
  <si>
    <t>000459392</t>
  </si>
  <si>
    <t>250542</t>
  </si>
  <si>
    <t>Mark Burrowes</t>
  </si>
  <si>
    <t>000450880</t>
  </si>
  <si>
    <t>180722</t>
  </si>
  <si>
    <t>Wiliam Maldonado</t>
  </si>
  <si>
    <t>000270545</t>
  </si>
  <si>
    <t>377750</t>
  </si>
  <si>
    <t>Kailer Mendez</t>
  </si>
  <si>
    <t>000534636</t>
  </si>
  <si>
    <t>377835</t>
  </si>
  <si>
    <t>Bryana Haylock</t>
  </si>
  <si>
    <t>000459001</t>
  </si>
  <si>
    <t>377901</t>
  </si>
  <si>
    <t>Alberto Tzib</t>
  </si>
  <si>
    <t>000508039</t>
  </si>
  <si>
    <t>378207</t>
  </si>
  <si>
    <t>Julianny Garcia</t>
  </si>
  <si>
    <t>000602446</t>
  </si>
  <si>
    <t>377974</t>
  </si>
  <si>
    <t>Deylin Teck</t>
  </si>
  <si>
    <t>000592405</t>
  </si>
  <si>
    <t>381122</t>
  </si>
  <si>
    <t>Lisa Coh</t>
  </si>
  <si>
    <t>000415056</t>
  </si>
  <si>
    <t>339386</t>
  </si>
  <si>
    <t>Luigi Mai</t>
  </si>
  <si>
    <t>000405025</t>
  </si>
  <si>
    <t>357306</t>
  </si>
  <si>
    <t>Crist Ku</t>
  </si>
  <si>
    <t>000508982</t>
  </si>
  <si>
    <t>331336</t>
  </si>
  <si>
    <t>Eli Tzib</t>
  </si>
  <si>
    <t>000083499</t>
  </si>
  <si>
    <t>368271</t>
  </si>
  <si>
    <t>Kerry Williams</t>
  </si>
  <si>
    <t>000455490</t>
  </si>
  <si>
    <t>337998</t>
  </si>
  <si>
    <t>Emily Tush</t>
  </si>
  <si>
    <t>000283142</t>
  </si>
  <si>
    <t>362386</t>
  </si>
  <si>
    <t>Maynor Hernández López</t>
  </si>
  <si>
    <t>000109627</t>
  </si>
  <si>
    <t>378879</t>
  </si>
  <si>
    <t>Nestor Tun</t>
  </si>
  <si>
    <t>000505339</t>
  </si>
  <si>
    <t>039405</t>
  </si>
  <si>
    <t>Floyd Peters</t>
  </si>
  <si>
    <t>000210494</t>
  </si>
  <si>
    <t>377853</t>
  </si>
  <si>
    <t>Dyna Cano</t>
  </si>
  <si>
    <t>000596384</t>
  </si>
  <si>
    <t>378002</t>
  </si>
  <si>
    <t>Liam McGovern</t>
  </si>
  <si>
    <t>000506477</t>
  </si>
  <si>
    <t>Alberto Garcia</t>
  </si>
  <si>
    <t>000459457</t>
  </si>
  <si>
    <t>320173</t>
  </si>
  <si>
    <t>Francisco Galicia</t>
  </si>
  <si>
    <t>000455599</t>
  </si>
  <si>
    <t>346331</t>
  </si>
  <si>
    <t>Jason Lizarraga</t>
  </si>
  <si>
    <t>000409866</t>
  </si>
  <si>
    <t>378176</t>
  </si>
  <si>
    <t>Keili Garcia</t>
  </si>
  <si>
    <t>000532586</t>
  </si>
  <si>
    <t>Leopoldo Arguelles</t>
  </si>
  <si>
    <t>000532276</t>
  </si>
  <si>
    <t>335207</t>
  </si>
  <si>
    <t>Wendell Obando</t>
  </si>
  <si>
    <t>000211821</t>
  </si>
  <si>
    <t>236268</t>
  </si>
  <si>
    <t>Jamaar James</t>
  </si>
  <si>
    <t>000532395</t>
  </si>
  <si>
    <t>000508663</t>
  </si>
  <si>
    <t>211244</t>
  </si>
  <si>
    <t>Jasmin Duarte</t>
  </si>
  <si>
    <t>000401869</t>
  </si>
  <si>
    <t>Joshua Chan</t>
  </si>
  <si>
    <t>000427316</t>
  </si>
  <si>
    <t>Aurora Leon</t>
  </si>
  <si>
    <t>000183761</t>
  </si>
  <si>
    <t>Nathanael Henriquez</t>
  </si>
  <si>
    <t>000534379</t>
  </si>
  <si>
    <t>Jaslin Arevalo</t>
  </si>
  <si>
    <t>000582319</t>
  </si>
  <si>
    <t>Denver Smith</t>
  </si>
  <si>
    <t>000541777</t>
  </si>
  <si>
    <t>Zidan Canto</t>
  </si>
  <si>
    <t>000580278</t>
  </si>
  <si>
    <t>Jose Carretela</t>
  </si>
  <si>
    <t>000075372</t>
  </si>
  <si>
    <t>Carmen Palacios Cervantes</t>
  </si>
  <si>
    <t>000628176</t>
  </si>
  <si>
    <t>Selvi Mai</t>
  </si>
  <si>
    <t>000214422</t>
  </si>
  <si>
    <t>Arne Guerra</t>
  </si>
  <si>
    <t>000209156</t>
  </si>
  <si>
    <t>Roberto Tut</t>
  </si>
  <si>
    <t>000206158</t>
  </si>
  <si>
    <t>Dennis Jimenez</t>
  </si>
  <si>
    <t>000506255</t>
  </si>
  <si>
    <t>202149</t>
  </si>
  <si>
    <t>Rojel Lisbey</t>
  </si>
  <si>
    <t>000505261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</si>
</sst>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1"/>
      <color theme="1"/>
      <name val="Arial"/>
      <family val="2"/>
    </font>
    <font>
      <u/>
      <sz val="18"/>
      <color theme="1"/>
      <name val="Arial"/>
      <family val="2"/>
    </font>
    <font>
      <sz val="12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28"/>
      <color theme="0"/>
      <name val="Segoe UI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A343C"/>
        <bgColor indexed="64"/>
      </patternFill>
    </fill>
    <fill>
      <patternFill patternType="solid">
        <fgColor rgb="FF026670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1" tint="0.14993743705557422"/>
      </left>
      <right/>
      <top style="thin">
        <color theme="1" tint="0.14993743705557422"/>
      </top>
      <bottom/>
      <diagonal/>
    </border>
    <border>
      <left/>
      <right/>
      <top style="thin">
        <color theme="1" tint="0.14993743705557422"/>
      </top>
      <bottom/>
      <diagonal/>
    </border>
    <border>
      <left style="thin">
        <color theme="1" tint="0.14993743705557422"/>
      </left>
      <right/>
      <top/>
      <bottom/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/>
      <diagonal/>
    </border>
    <border>
      <left style="thin">
        <color theme="0" tint="-0.34998626667073579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theme="1" tint="0.14996795556505021"/>
      </top>
      <bottom style="thin">
        <color auto="1"/>
      </bottom>
      <diagonal/>
    </border>
    <border>
      <left/>
      <right/>
      <top style="thin">
        <color theme="1" tint="0.14996795556505021"/>
      </top>
      <bottom style="thin">
        <color auto="1"/>
      </bottom>
      <diagonal/>
    </border>
    <border>
      <left style="thin">
        <color theme="1" tint="0.14993743705557422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 tint="0.14990691854609822"/>
      </right>
      <top style="thin">
        <color theme="1" tint="0.14993743705557422"/>
      </top>
      <bottom/>
      <diagonal/>
    </border>
    <border>
      <left/>
      <right style="thin">
        <color theme="1" tint="0.14990691854609822"/>
      </right>
      <top/>
      <bottom/>
      <diagonal/>
    </border>
    <border>
      <left/>
      <right style="thin">
        <color theme="1" tint="0.14990691854609822"/>
      </right>
      <top/>
      <bottom style="thin">
        <color indexed="64"/>
      </bottom>
      <diagonal/>
    </border>
    <border>
      <left/>
      <right style="thin">
        <color theme="1" tint="0.14990691854609822"/>
      </right>
      <top style="thin">
        <color theme="1" tint="0.14996795556505021"/>
      </top>
      <bottom style="thin">
        <color auto="1"/>
      </bottom>
      <diagonal/>
    </border>
    <border>
      <left style="thin">
        <color theme="0" tint="-0.34998626667073579"/>
      </left>
      <right style="thin">
        <color theme="1" tint="0.14990691854609822"/>
      </right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theme="1"/>
      </right>
      <top style="thin">
        <color indexed="64"/>
      </top>
      <bottom style="thin">
        <color theme="1" tint="0.14996795556505021"/>
      </bottom>
      <diagonal/>
    </border>
    <border>
      <left style="thin">
        <color auto="1"/>
      </left>
      <right style="thin">
        <color theme="1"/>
      </right>
      <top style="thin">
        <color indexed="64"/>
      </top>
      <bottom style="thin">
        <color theme="1" tint="0.14996795556505021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82">
    <xf numFmtId="0" fontId="0" fillId="0" borderId="0" xfId="0"/>
    <xf numFmtId="0" fontId="2" fillId="0" borderId="0" xfId="0" applyFont="1"/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3" fillId="3" borderId="0" xfId="0" applyFont="1" applyFill="1" applyAlignment="1">
      <alignment vertical="center"/>
    </xf>
    <xf numFmtId="0" fontId="4" fillId="3" borderId="0" xfId="0" applyFont="1" applyFill="1"/>
    <xf numFmtId="0" fontId="4" fillId="3" borderId="0" xfId="0" applyFont="1" applyFill="1" applyAlignment="1">
      <alignment wrapText="1"/>
    </xf>
    <xf numFmtId="0" fontId="6" fillId="3" borderId="0" xfId="0" applyFont="1" applyFill="1"/>
    <xf numFmtId="0" fontId="4" fillId="3" borderId="0" xfId="0" applyFont="1" applyFill="1" applyAlignment="1">
      <alignment horizontal="left"/>
    </xf>
    <xf numFmtId="49" fontId="4" fillId="3" borderId="0" xfId="0" applyNumberFormat="1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/>
    </xf>
    <xf numFmtId="0" fontId="4" fillId="4" borderId="0" xfId="0" applyFont="1" applyFill="1"/>
    <xf numFmtId="0" fontId="5" fillId="3" borderId="0" xfId="0" applyFont="1" applyFill="1" applyAlignment="1">
      <alignment vertical="center"/>
    </xf>
    <xf numFmtId="0" fontId="4" fillId="2" borderId="1" xfId="1" applyFont="1" applyAlignment="1" applyProtection="1">
      <alignment horizontal="left" vertical="center" indent="1"/>
      <protection locked="0"/>
    </xf>
    <xf numFmtId="0" fontId="4" fillId="6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left" vertical="center" indent="1"/>
    </xf>
    <xf numFmtId="0" fontId="3" fillId="6" borderId="0" xfId="0" applyFont="1" applyFill="1" applyAlignment="1">
      <alignment horizontal="right" vertical="center" indent="1"/>
    </xf>
    <xf numFmtId="0" fontId="4" fillId="4" borderId="0" xfId="0" applyFont="1" applyFill="1" applyAlignment="1">
      <alignment wrapText="1"/>
    </xf>
    <xf numFmtId="0" fontId="6" fillId="4" borderId="0" xfId="0" applyFont="1" applyFill="1"/>
    <xf numFmtId="0" fontId="9" fillId="3" borderId="0" xfId="0" applyFont="1" applyFill="1" applyAlignment="1">
      <alignment horizontal="left" vertical="center"/>
    </xf>
    <xf numFmtId="49" fontId="4" fillId="4" borderId="7" xfId="0" applyNumberFormat="1" applyFont="1" applyFill="1" applyBorder="1" applyAlignment="1">
      <alignment wrapText="1"/>
    </xf>
    <xf numFmtId="0" fontId="4" fillId="4" borderId="5" xfId="0" applyFont="1" applyFill="1" applyBorder="1" applyAlignment="1">
      <alignment wrapText="1"/>
    </xf>
    <xf numFmtId="0" fontId="4" fillId="4" borderId="8" xfId="0" applyFont="1" applyFill="1" applyBorder="1" applyAlignment="1">
      <alignment wrapText="1"/>
    </xf>
    <xf numFmtId="49" fontId="4" fillId="4" borderId="9" xfId="0" applyNumberFormat="1" applyFont="1" applyFill="1" applyBorder="1" applyAlignment="1">
      <alignment wrapText="1"/>
    </xf>
    <xf numFmtId="0" fontId="4" fillId="4" borderId="10" xfId="0" applyFont="1" applyFill="1" applyBorder="1" applyAlignment="1">
      <alignment wrapText="1"/>
    </xf>
    <xf numFmtId="49" fontId="8" fillId="4" borderId="9" xfId="0" applyNumberFormat="1" applyFont="1" applyFill="1" applyBorder="1" applyAlignment="1">
      <alignment horizontal="left" vertical="center" indent="1"/>
    </xf>
    <xf numFmtId="0" fontId="6" fillId="4" borderId="10" xfId="0" applyFont="1" applyFill="1" applyBorder="1"/>
    <xf numFmtId="0" fontId="4" fillId="4" borderId="10" xfId="0" applyFont="1" applyFill="1" applyBorder="1"/>
    <xf numFmtId="49" fontId="4" fillId="4" borderId="11" xfId="0" applyNumberFormat="1" applyFont="1" applyFill="1" applyBorder="1" applyAlignment="1">
      <alignment horizontal="left" vertical="center" indent="1"/>
    </xf>
    <xf numFmtId="0" fontId="4" fillId="4" borderId="12" xfId="0" applyFont="1" applyFill="1" applyBorder="1" applyAlignment="1">
      <alignment horizontal="left"/>
    </xf>
    <xf numFmtId="0" fontId="4" fillId="4" borderId="12" xfId="0" applyFont="1" applyFill="1" applyBorder="1"/>
    <xf numFmtId="0" fontId="4" fillId="4" borderId="13" xfId="0" applyFont="1" applyFill="1" applyBorder="1"/>
    <xf numFmtId="0" fontId="4" fillId="3" borderId="0" xfId="0" applyFont="1" applyFill="1" applyAlignment="1">
      <alignment horizontal="left" vertical="center" indent="2"/>
    </xf>
    <xf numFmtId="0" fontId="4" fillId="3" borderId="0" xfId="0" applyFont="1" applyFill="1" applyAlignment="1">
      <alignment horizontal="left" vertical="center" wrapText="1" indent="2"/>
    </xf>
    <xf numFmtId="0" fontId="8" fillId="5" borderId="17" xfId="0" applyFont="1" applyFill="1" applyBorder="1" applyAlignment="1">
      <alignment horizontal="left" vertical="center" indent="1"/>
    </xf>
    <xf numFmtId="0" fontId="4" fillId="5" borderId="18" xfId="0" applyFont="1" applyFill="1" applyBorder="1" applyAlignment="1">
      <alignment horizontal="left" vertical="center" indent="1"/>
    </xf>
    <xf numFmtId="0" fontId="7" fillId="4" borderId="6" xfId="0" applyFont="1" applyFill="1" applyBorder="1" applyAlignment="1">
      <alignment horizontal="left" vertical="center" indent="1"/>
    </xf>
    <xf numFmtId="0" fontId="7" fillId="4" borderId="19" xfId="0" applyFont="1" applyFill="1" applyBorder="1" applyAlignment="1">
      <alignment horizontal="left" vertical="center" indent="1"/>
    </xf>
    <xf numFmtId="0" fontId="7" fillId="4" borderId="28" xfId="0" applyFont="1" applyFill="1" applyBorder="1" applyAlignment="1">
      <alignment horizontal="right" vertical="center" indent="1"/>
    </xf>
    <xf numFmtId="164" fontId="8" fillId="5" borderId="30" xfId="0" applyNumberFormat="1" applyFont="1" applyFill="1" applyBorder="1" applyAlignment="1">
      <alignment horizontal="right" vertical="center" indent="1"/>
    </xf>
    <xf numFmtId="0" fontId="8" fillId="3" borderId="20" xfId="0" applyFont="1" applyFill="1" applyBorder="1" applyAlignment="1">
      <alignment horizontal="left" vertical="center" indent="1"/>
    </xf>
    <xf numFmtId="0" fontId="8" fillId="3" borderId="16" xfId="0" applyFont="1" applyFill="1" applyBorder="1" applyAlignment="1">
      <alignment horizontal="left" vertical="center" indent="1"/>
    </xf>
    <xf numFmtId="0" fontId="4" fillId="5" borderId="29" xfId="0" applyFont="1" applyFill="1" applyBorder="1" applyAlignment="1">
      <alignment horizontal="left" vertical="center" indent="1"/>
    </xf>
    <xf numFmtId="0" fontId="4" fillId="3" borderId="23" xfId="0" quotePrefix="1" applyFont="1" applyFill="1" applyBorder="1" applyAlignment="1">
      <alignment vertical="top" wrapText="1"/>
    </xf>
    <xf numFmtId="0" fontId="4" fillId="3" borderId="26" xfId="0" quotePrefix="1" applyFont="1" applyFill="1" applyBorder="1" applyAlignment="1">
      <alignment vertical="top" wrapText="1"/>
    </xf>
    <xf numFmtId="49" fontId="8" fillId="4" borderId="0" xfId="0" applyNumberFormat="1" applyFont="1" applyFill="1" applyAlignment="1">
      <alignment wrapText="1"/>
    </xf>
    <xf numFmtId="49" fontId="8" fillId="4" borderId="10" xfId="0" applyNumberFormat="1" applyFont="1" applyFill="1" applyBorder="1" applyAlignment="1">
      <alignment wrapText="1"/>
    </xf>
    <xf numFmtId="0" fontId="8" fillId="3" borderId="0" xfId="0" applyFont="1" applyFill="1" applyAlignment="1">
      <alignment vertical="center"/>
    </xf>
    <xf numFmtId="0" fontId="8" fillId="3" borderId="25" xfId="0" applyFont="1" applyFill="1" applyBorder="1" applyAlignment="1">
      <alignment vertical="center"/>
    </xf>
    <xf numFmtId="0" fontId="8" fillId="3" borderId="14" xfId="0" applyFont="1" applyFill="1" applyBorder="1" applyAlignment="1">
      <alignment vertical="center"/>
    </xf>
    <xf numFmtId="0" fontId="8" fillId="3" borderId="15" xfId="0" applyFont="1" applyFill="1" applyBorder="1" applyAlignment="1">
      <alignment vertical="center"/>
    </xf>
    <xf numFmtId="0" fontId="8" fillId="3" borderId="24" xfId="0" applyFont="1" applyFill="1" applyBorder="1" applyAlignment="1">
      <alignment vertical="center"/>
    </xf>
    <xf numFmtId="0" fontId="8" fillId="3" borderId="21" xfId="0" applyFont="1" applyFill="1" applyBorder="1" applyAlignment="1">
      <alignment vertical="center"/>
    </xf>
    <xf numFmtId="0" fontId="8" fillId="3" borderId="27" xfId="0" applyFont="1" applyFill="1" applyBorder="1" applyAlignment="1">
      <alignment vertical="center"/>
    </xf>
    <xf numFmtId="0" fontId="4" fillId="3" borderId="0" xfId="0" applyFont="1" applyFill="1" applyAlignment="1" applyProtection="1">
      <alignment horizontal="left" vertical="center"/>
      <protection hidden="1"/>
    </xf>
    <xf numFmtId="0" fontId="3" fillId="3" borderId="0" xfId="0" applyFont="1" applyFill="1" applyAlignment="1" applyProtection="1">
      <alignment vertical="center"/>
      <protection hidden="1"/>
    </xf>
    <xf numFmtId="0" fontId="5" fillId="3" borderId="0" xfId="0" applyFont="1" applyFill="1" applyAlignment="1" applyProtection="1">
      <alignment vertical="center"/>
      <protection hidden="1"/>
    </xf>
    <xf numFmtId="0" fontId="4" fillId="3" borderId="0" xfId="0" applyFont="1" applyFill="1" applyAlignment="1" applyProtection="1">
      <alignment wrapText="1"/>
      <protection hidden="1"/>
    </xf>
    <xf numFmtId="0" fontId="6" fillId="3" borderId="0" xfId="0" applyFont="1" applyFill="1" applyProtection="1">
      <protection hidden="1"/>
    </xf>
    <xf numFmtId="0" fontId="4" fillId="3" borderId="0" xfId="0" applyFont="1" applyFill="1" applyProtection="1">
      <protection hidden="1"/>
    </xf>
    <xf numFmtId="0" fontId="5" fillId="3" borderId="0" xfId="0" applyFont="1" applyFill="1" applyAlignment="1" applyProtection="1">
      <alignment vertical="top"/>
      <protection hidden="1"/>
    </xf>
    <xf numFmtId="0" fontId="4" fillId="3" borderId="0" xfId="0" applyFont="1" applyFill="1" applyAlignment="1" applyProtection="1">
      <alignment horizontal="left" vertical="center" wrapText="1" indent="2"/>
      <protection hidden="1"/>
    </xf>
    <xf numFmtId="0" fontId="5" fillId="3" borderId="0" xfId="0" applyFont="1" applyFill="1" applyAlignment="1" applyProtection="1">
      <alignment horizontal="left" vertical="center" indent="2"/>
      <protection hidden="1"/>
    </xf>
    <xf numFmtId="49" fontId="4" fillId="2" borderId="1" xfId="1" applyNumberFormat="1" applyFont="1" applyAlignment="1" applyProtection="1">
      <alignment horizontal="left" vertical="center" indent="1"/>
      <protection locked="0"/>
    </xf>
    <xf numFmtId="164" fontId="8" fillId="5" borderId="31" xfId="0" applyNumberFormat="1" applyFont="1" applyFill="1" applyBorder="1" applyAlignment="1">
      <alignment horizontal="right" vertical="center" indent="1"/>
    </xf>
    <xf numFmtId="49" fontId="8" fillId="4" borderId="0" xfId="0" applyNumberFormat="1" applyFont="1" applyFill="1" applyAlignment="1">
      <alignment horizontal="left" wrapText="1" indent="1"/>
    </xf>
    <xf numFmtId="0" fontId="4" fillId="3" borderId="22" xfId="0" quotePrefix="1" applyFont="1" applyFill="1" applyBorder="1" applyAlignment="1">
      <alignment horizontal="left" vertical="top" wrapText="1" indent="1"/>
    </xf>
    <xf numFmtId="0" fontId="4" fillId="3" borderId="23" xfId="0" quotePrefix="1" applyFont="1" applyFill="1" applyBorder="1" applyAlignment="1">
      <alignment horizontal="left" vertical="top" wrapText="1" indent="1"/>
    </xf>
    <xf numFmtId="49" fontId="8" fillId="4" borderId="9" xfId="0" applyNumberFormat="1" applyFont="1" applyFill="1" applyBorder="1" applyAlignment="1">
      <alignment horizontal="left" wrapText="1" indent="1"/>
    </xf>
    <xf numFmtId="49" fontId="8" fillId="4" borderId="0" xfId="0" applyNumberFormat="1" applyFont="1" applyFill="1" applyAlignment="1">
      <alignment horizontal="left" wrapText="1" indent="1"/>
    </xf>
    <xf numFmtId="0" fontId="9" fillId="7" borderId="0" xfId="0" applyFont="1" applyFill="1" applyAlignment="1">
      <alignment horizontal="right" vertical="center" indent="1"/>
    </xf>
    <xf numFmtId="0" fontId="9" fillId="7" borderId="0" xfId="0" applyFont="1" applyFill="1" applyAlignment="1">
      <alignment horizontal="left" vertical="center"/>
    </xf>
    <xf numFmtId="49" fontId="4" fillId="2" borderId="2" xfId="1" applyNumberFormat="1" applyFont="1" applyBorder="1" applyAlignment="1" applyProtection="1">
      <alignment horizontal="left" vertical="center" indent="1"/>
      <protection locked="0"/>
    </xf>
    <xf numFmtId="49" fontId="4" fillId="2" borderId="4" xfId="1" applyNumberFormat="1" applyFont="1" applyBorder="1" applyAlignment="1" applyProtection="1">
      <alignment horizontal="left" vertical="center" indent="1"/>
      <protection locked="0"/>
    </xf>
    <xf numFmtId="0" fontId="4" fillId="2" borderId="2" xfId="1" applyFont="1" applyBorder="1" applyAlignment="1" applyProtection="1">
      <alignment horizontal="left" vertical="center" indent="1"/>
      <protection locked="0"/>
    </xf>
    <xf numFmtId="0" fontId="4" fillId="2" borderId="3" xfId="1" applyFont="1" applyBorder="1" applyAlignment="1" applyProtection="1">
      <alignment horizontal="left" vertical="center" indent="1"/>
      <protection locked="0"/>
    </xf>
    <xf numFmtId="0" fontId="4" fillId="2" borderId="4" xfId="1" applyFont="1" applyBorder="1" applyAlignment="1" applyProtection="1">
      <alignment horizontal="left" vertical="center" indent="1"/>
      <protection locked="0"/>
    </xf>
    <xf numFmtId="0" fontId="2" fillId="0" borderId="0" xfId="0" applyFont="1" applyAlignment="1" applyProtection="1">
      <alignment horizontal="center"/>
      <protection locked="0"/>
    </xf>
    <xf numFmtId="0" fontId="0" fillId="8" borderId="0" xfId="0" applyFill="1"/>
    <xf numFmtId="0" fontId="4" fillId="8" borderId="0" xfId="0" applyFont="1" applyFill="1"/>
    <xf numFmtId="0" fontId="4" fillId="8" borderId="0" xfId="0" applyFont="1" applyFill="1" applyProtection="1">
      <protection hidden="1"/>
    </xf>
  </cellXfs>
  <cellStyles count="2">
    <cellStyle name="Normal" xfId="0" builtinId="0"/>
    <cellStyle name="Note" xfId="1" builtinId="10"/>
  </cellStyles>
  <dxfs count="28">
    <dxf>
      <fill>
        <patternFill>
          <bgColor rgb="FF00B050"/>
        </patternFill>
      </fill>
    </dxf>
    <dxf>
      <font>
        <color theme="0"/>
      </font>
      <fill>
        <patternFill>
          <bgColor theme="5" tint="-0.2499465926084170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&quot;$&quot;#,##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theme="0" tint="-0.34998626667073579"/>
        </left>
        <right style="thin">
          <color auto="1"/>
        </right>
        <top style="thin">
          <color theme="0" tint="-0.34998626667073579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34998626667073579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&quot;$&quot;#,##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34998626667073579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&quot;$&quot;#,##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34998626667073579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&quot;$&quot;#,##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34998626667073579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34998626667073579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34998626667073579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1" tint="0.1499679555650502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theme="1" tint="0.14996795556505021"/>
        </left>
        <right/>
        <top style="thin">
          <color theme="0" tint="-0.34998626667073579"/>
        </top>
        <bottom/>
        <vertical/>
        <horizontal/>
      </border>
      <protection locked="0" hidden="0"/>
    </dxf>
    <dxf>
      <border outline="0">
        <top style="thin">
          <color theme="0" tint="-0.34998626667073579"/>
        </top>
        <bottom style="double">
          <color theme="1" tint="0.14993743705557422"/>
        </bottom>
      </border>
    </dxf>
    <dxf>
      <protection locked="0" hidden="0"/>
    </dxf>
    <dxf>
      <border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border>
        <top style="double">
          <color auto="1"/>
        </top>
      </border>
    </dxf>
    <dxf>
      <border>
        <top style="double">
          <color theme="1" tint="0.14996795556505021"/>
        </top>
      </border>
    </dxf>
    <dxf>
      <border>
        <top style="double">
          <color theme="1" tint="0.14996795556505021"/>
        </top>
      </border>
    </dxf>
  </dxfs>
  <tableStyles count="3" defaultTableStyle="TableStyleMedium2" defaultPivotStyle="PivotStyleLight16">
    <tableStyle name="Table Style 1" pivot="0" count="2" xr9:uid="{4AC369BD-43F6-49AB-94E1-C3816C638663}">
      <tableStyleElement type="wholeTable" dxfId="27"/>
      <tableStyleElement type="headerRow" dxfId="26"/>
    </tableStyle>
    <tableStyle name="Table Style 2" pivot="0" count="1" xr9:uid="{07168933-B47D-4786-87CC-120152069317}">
      <tableStyleElement type="wholeTable" dxfId="25"/>
    </tableStyle>
    <tableStyle name="Table Style 3" pivot="0" count="0" xr9:uid="{A5199DBC-7239-4D19-AC06-84165BB790D6}"/>
  </tableStyles>
  <colors>
    <mruColors>
      <color rgb="FF026670"/>
      <color rgb="FF2A343C"/>
      <color rgb="FF262F36"/>
      <color rgb="FF323E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113853</xdr:colOff>
      <xdr:row>1</xdr:row>
      <xdr:rowOff>209200</xdr:rowOff>
    </xdr:from>
    <xdr:to>
      <xdr:col>1</xdr:col>
      <xdr:colOff>910166</xdr:colOff>
      <xdr:row>3</xdr:row>
      <xdr:rowOff>2466</xdr:rowOff>
    </xdr:to>
    <xdr:pic>
      <xdr:nvPicPr>
        <xdr:cNvPr id="3" name="Picture 2" descr="https://localhost:44339/Styles/images/Iho/belize-Logo.png">
          <a:extLst>
            <a:ext uri="{FF2B5EF4-FFF2-40B4-BE49-F238E27FC236}">
              <a16:creationId xmlns:a16="http://schemas.microsoft.com/office/drawing/2014/main" id="{AD8E3557-8D11-4C05-8E7F-5E8333A62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853" y="389117"/>
          <a:ext cx="965646" cy="968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BE8E1D-85AA-49AE-B66A-75FEDD3B514B}" name="PAYE_Schedule" displayName="PAYE_Schedule" ref="B24:J3025" headerRowDxfId="24" dataDxfId="22" headerRowBorderDxfId="23" tableBorderDxfId="21">
  <tableColumns count="9">
    <tableColumn id="1" xr3:uid="{C85CAAF1-DC58-4887-B797-1CE60E86C5EB}" name="TIN" totalsRowLabel="Total" dataDxfId="20" totalsRowDxfId="19"/>
    <tableColumn id="2" xr3:uid="{51D17604-DEA3-4D67-BDF0-C7692F0C55FB}" name="Taxpayer Name" dataDxfId="18" totalsRowDxfId="17"/>
    <tableColumn id="3" xr3:uid="{6F9197FD-B108-4DFF-B2EA-3290D0351E8B}" name="Social Security Number" dataDxfId="16" totalsRowDxfId="15"/>
    <tableColumn id="8" xr3:uid="{326B2CAB-5AC9-453D-84F9-C4D40AE942B7}" name="Passport" dataDxfId="14" totalsRowDxfId="13"/>
    <tableColumn id="6" xr3:uid="{70A9C15C-8F22-49D8-99FD-3BA7EF4FB300}" name="Number of Weeks Employed" dataDxfId="12"/>
    <tableColumn id="4" xr3:uid="{452195CC-2A83-49A8-B72B-F2FE2CC925AA}" name="Total Emoluments" dataDxfId="11" totalsRowDxfId="10"/>
    <tableColumn id="7" xr3:uid="{3E3FD828-CD26-4DD5-A517-BA4BB77CFCB0}" name="Taxable Benefits" dataDxfId="9" totalsRowDxfId="8"/>
    <tableColumn id="9" xr3:uid="{D5F033E0-CA3E-4791-A773-F48411A490F4}" name="Commissions" dataDxfId="7" totalsRowDxfId="6"/>
    <tableColumn id="5" xr3:uid="{457A04D2-D24F-4A1E-B52B-9FFB771C8329}" name="Tax Withheld" dataDxfId="5"/>
  </tableColumns>
  <tableStyleInfo name="Table Style 1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F88D7-03F8-4EC6-A2E7-5C83BE3F0009}">
  <sheetPr codeName="Sheet1"/>
  <dimension ref="B2:AB234"/>
  <sheetViews>
    <sheetView tabSelected="1" topLeftCell="A203" zoomScale="90" zoomScaleNormal="90" workbookViewId="0">
      <selection activeCell="B222" sqref="B222:J233"/>
    </sheetView>
  </sheetViews>
  <sheetFormatPr defaultColWidth="9.140625" defaultRowHeight="14.25" x14ac:dyDescent="0.2"/>
  <cols>
    <col min="1" max="1" width="2.5703125" style="5" customWidth="1"/>
    <col min="2" max="3" width="35" style="5" customWidth="1"/>
    <col min="4" max="4" width="26.7109375" style="5" bestFit="1" customWidth="1"/>
    <col min="5" max="5" width="26.7109375" style="5" customWidth="1"/>
    <col min="6" max="6" width="31.42578125" style="5" bestFit="1" customWidth="1"/>
    <col min="7" max="8" width="25.85546875" style="5" bestFit="1" customWidth="1"/>
    <col min="9" max="9" width="19" style="5" customWidth="1"/>
    <col min="10" max="10" width="23.7109375" style="5" customWidth="1"/>
    <col min="11" max="11" width="1.5703125" style="5" customWidth="1"/>
    <col min="12" max="12" width="9.140625" style="5" hidden="1" customWidth="1"/>
    <col min="13" max="13" width="11.28515625" style="60" hidden="1" customWidth="1"/>
    <col min="14" max="14" width="12.42578125" style="60" hidden="1" customWidth="1"/>
    <col min="15" max="15" width="15.28515625" style="60" hidden="1" customWidth="1"/>
    <col min="16" max="16" width="20.7109375" style="60" hidden="1" customWidth="1"/>
    <col min="17" max="17" width="8.140625" style="60" hidden="1" customWidth="1"/>
    <col min="18" max="18" width="26.28515625" style="60" hidden="1" customWidth="1"/>
    <col min="19" max="19" width="18.5703125" style="60" hidden="1" customWidth="1"/>
    <col min="20" max="20" width="24.5703125" style="60" hidden="1" customWidth="1"/>
    <col min="21" max="21" width="22" style="60" hidden="1" customWidth="1"/>
    <col min="22" max="22" width="16.85546875" style="60" hidden="1" customWidth="1"/>
    <col min="23" max="23" width="5.28515625" style="60" hidden="1" customWidth="1"/>
    <col min="24" max="24" width="12" style="60" hidden="1" customWidth="1"/>
    <col min="25" max="25" width="7.5703125" style="5" hidden="1" customWidth="1"/>
    <col min="26" max="28" width="9.140625" style="5" customWidth="1"/>
    <col min="29" max="16384" width="9.140625" style="5"/>
  </cols>
  <sheetData>
    <row r="2" spans="2:28" s="10" customFormat="1" ht="21" customHeight="1" x14ac:dyDescent="0.25">
      <c r="B2" s="16" t="s">
        <v>44</v>
      </c>
      <c r="C2" s="15"/>
      <c r="D2" s="15"/>
      <c r="E2" s="15"/>
      <c r="F2" s="15"/>
      <c r="G2" s="15"/>
      <c r="H2" s="15"/>
      <c r="I2" s="15"/>
      <c r="J2" s="17" t="s">
        <v>63</v>
      </c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</row>
    <row r="3" spans="2:28" ht="71.25" customHeight="1" x14ac:dyDescent="0.2">
      <c r="B3" s="72"/>
      <c r="C3" s="72"/>
      <c r="D3" s="71" t="s">
        <v>60</v>
      </c>
      <c r="E3" s="71"/>
      <c r="F3" s="71"/>
      <c r="G3" s="71"/>
      <c r="H3" s="71"/>
      <c r="I3" s="71"/>
      <c r="J3" s="71"/>
      <c r="K3" s="4"/>
      <c r="L3" s="4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4"/>
      <c r="Z3" s="4"/>
      <c r="AA3" s="4"/>
      <c r="AB3" s="4"/>
    </row>
    <row r="4" spans="2:28" ht="14.25" customHeight="1" x14ac:dyDescent="0.2">
      <c r="B4" s="20"/>
      <c r="C4" s="20"/>
      <c r="D4" s="20"/>
      <c r="E4" s="20"/>
      <c r="F4" s="20"/>
      <c r="G4" s="20"/>
      <c r="H4" s="20"/>
      <c r="I4" s="20"/>
      <c r="J4" s="20"/>
      <c r="K4" s="4"/>
      <c r="L4" s="4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4"/>
      <c r="Z4" s="4"/>
      <c r="AA4" s="4"/>
      <c r="AB4" s="4"/>
    </row>
    <row r="5" spans="2:28" ht="13.5" customHeight="1" x14ac:dyDescent="0.2">
      <c r="B5" s="21"/>
      <c r="C5" s="22"/>
      <c r="D5" s="22"/>
      <c r="E5" s="22"/>
      <c r="F5" s="22"/>
      <c r="G5" s="22"/>
      <c r="H5" s="22"/>
      <c r="I5" s="22"/>
      <c r="J5" s="23"/>
      <c r="K5" s="6"/>
      <c r="L5" s="6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6"/>
      <c r="Z5" s="6"/>
      <c r="AA5" s="6"/>
      <c r="AB5" s="6"/>
    </row>
    <row r="6" spans="2:28" ht="13.5" customHeight="1" x14ac:dyDescent="0.25">
      <c r="B6" s="69" t="s">
        <v>22</v>
      </c>
      <c r="C6" s="70"/>
      <c r="D6" s="70"/>
      <c r="E6" s="66"/>
      <c r="F6" s="46"/>
      <c r="G6" s="46"/>
      <c r="H6" s="46"/>
      <c r="I6" s="46"/>
      <c r="J6" s="47"/>
      <c r="K6" s="6"/>
      <c r="L6" s="6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6"/>
      <c r="Z6" s="6"/>
      <c r="AA6" s="6"/>
      <c r="AB6" s="6"/>
    </row>
    <row r="7" spans="2:28" ht="13.5" customHeight="1" x14ac:dyDescent="0.2">
      <c r="B7" s="24"/>
      <c r="C7" s="18"/>
      <c r="D7" s="18"/>
      <c r="E7" s="18"/>
      <c r="F7" s="18"/>
      <c r="G7" s="18"/>
      <c r="H7" s="18"/>
      <c r="I7" s="18"/>
      <c r="J7" s="25"/>
      <c r="K7" s="6"/>
      <c r="L7" s="6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6"/>
      <c r="Z7" s="6"/>
      <c r="AA7" s="6"/>
      <c r="AB7" s="6"/>
    </row>
    <row r="8" spans="2:28" s="7" customFormat="1" ht="18.75" customHeight="1" x14ac:dyDescent="0.25">
      <c r="B8" s="26" t="s">
        <v>0</v>
      </c>
      <c r="C8" s="64" t="s">
        <v>70</v>
      </c>
      <c r="D8" s="19"/>
      <c r="E8" s="19"/>
      <c r="F8" s="19"/>
      <c r="G8" s="19"/>
      <c r="H8" s="19"/>
      <c r="I8" s="19"/>
      <c r="J8" s="27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AA8"/>
    </row>
    <row r="9" spans="2:28" ht="8.25" customHeight="1" x14ac:dyDescent="0.2">
      <c r="B9" s="26"/>
      <c r="C9" s="11"/>
      <c r="D9" s="11"/>
      <c r="E9" s="11"/>
      <c r="F9" s="11"/>
      <c r="G9" s="12"/>
      <c r="H9" s="12"/>
      <c r="I9" s="12"/>
      <c r="J9" s="28"/>
    </row>
    <row r="10" spans="2:28" s="7" customFormat="1" ht="18.75" customHeight="1" x14ac:dyDescent="0.2">
      <c r="B10" s="26" t="s">
        <v>1</v>
      </c>
      <c r="C10" s="73" t="s">
        <v>71</v>
      </c>
      <c r="D10" s="74"/>
      <c r="E10" s="19"/>
      <c r="F10" s="19"/>
      <c r="G10" s="19"/>
      <c r="H10" s="19"/>
      <c r="I10" s="19"/>
      <c r="J10" s="27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</row>
    <row r="11" spans="2:28" ht="7.5" customHeight="1" x14ac:dyDescent="0.2">
      <c r="B11" s="26"/>
      <c r="C11" s="11"/>
      <c r="D11" s="11"/>
      <c r="E11" s="11"/>
      <c r="F11" s="11"/>
      <c r="G11" s="12"/>
      <c r="H11" s="12"/>
      <c r="I11" s="12"/>
      <c r="J11" s="28"/>
    </row>
    <row r="12" spans="2:28" s="7" customFormat="1" ht="18.75" customHeight="1" x14ac:dyDescent="0.2">
      <c r="B12" s="26" t="s">
        <v>2</v>
      </c>
      <c r="C12" s="75" t="s">
        <v>72</v>
      </c>
      <c r="D12" s="76"/>
      <c r="E12" s="76"/>
      <c r="F12" s="77"/>
      <c r="G12" s="19"/>
      <c r="H12" s="19"/>
      <c r="I12" s="19"/>
      <c r="J12" s="27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</row>
    <row r="13" spans="2:28" ht="8.25" customHeight="1" x14ac:dyDescent="0.2">
      <c r="B13" s="26"/>
      <c r="C13" s="11"/>
      <c r="D13" s="11"/>
      <c r="E13" s="11"/>
      <c r="F13" s="11"/>
      <c r="G13" s="12"/>
      <c r="H13" s="12"/>
      <c r="I13" s="12"/>
      <c r="J13" s="28"/>
    </row>
    <row r="14" spans="2:28" s="7" customFormat="1" ht="18.75" customHeight="1" x14ac:dyDescent="0.2">
      <c r="B14" s="26" t="s">
        <v>3</v>
      </c>
      <c r="C14" s="14" t="s">
        <v>73</v>
      </c>
      <c r="D14" s="19"/>
      <c r="E14" s="19"/>
      <c r="F14" s="19"/>
      <c r="G14" s="19"/>
      <c r="H14" s="19"/>
      <c r="I14" s="19"/>
      <c r="J14" s="27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</row>
    <row r="15" spans="2:28" ht="7.5" customHeight="1" x14ac:dyDescent="0.2">
      <c r="B15" s="26"/>
      <c r="C15" s="11"/>
      <c r="D15" s="11"/>
      <c r="E15" s="11"/>
      <c r="F15" s="11"/>
      <c r="G15" s="12"/>
      <c r="H15" s="12"/>
      <c r="I15" s="12"/>
      <c r="J15" s="28"/>
    </row>
    <row r="16" spans="2:28" ht="18.75" customHeight="1" x14ac:dyDescent="0.2">
      <c r="B16" s="26" t="s">
        <v>17</v>
      </c>
      <c r="C16" s="14" t="s">
        <v>13</v>
      </c>
      <c r="D16" s="11"/>
      <c r="E16" s="11"/>
      <c r="F16" s="11"/>
      <c r="G16" s="12"/>
      <c r="H16" s="12"/>
      <c r="I16" s="12"/>
      <c r="J16" s="28"/>
    </row>
    <row r="17" spans="2:28" ht="13.5" customHeight="1" x14ac:dyDescent="0.2">
      <c r="B17" s="29"/>
      <c r="C17" s="30"/>
      <c r="D17" s="30"/>
      <c r="E17" s="30"/>
      <c r="F17" s="30"/>
      <c r="G17" s="31"/>
      <c r="H17" s="31"/>
      <c r="I17" s="31"/>
      <c r="J17" s="32"/>
    </row>
    <row r="18" spans="2:28" ht="13.5" customHeight="1" x14ac:dyDescent="0.2">
      <c r="B18" s="9"/>
      <c r="C18" s="8"/>
      <c r="D18" s="8"/>
      <c r="E18" s="8"/>
      <c r="F18" s="8"/>
    </row>
    <row r="19" spans="2:28" ht="7.5" customHeight="1" x14ac:dyDescent="0.2">
      <c r="B19" s="50"/>
      <c r="C19" s="51"/>
      <c r="D19" s="51"/>
      <c r="E19" s="51"/>
      <c r="F19" s="51"/>
      <c r="G19" s="51"/>
      <c r="H19" s="51"/>
      <c r="I19" s="51"/>
      <c r="J19" s="52"/>
    </row>
    <row r="20" spans="2:28" ht="29.25" customHeight="1" x14ac:dyDescent="0.2">
      <c r="B20" s="42" t="s">
        <v>21</v>
      </c>
      <c r="C20" s="48"/>
      <c r="D20" s="48"/>
      <c r="E20" s="48"/>
      <c r="F20" s="48"/>
      <c r="G20" s="48"/>
      <c r="H20" s="48"/>
      <c r="I20" s="48"/>
      <c r="J20" s="49"/>
      <c r="K20" s="13"/>
      <c r="L20" s="13"/>
      <c r="M20" s="61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13"/>
      <c r="Z20" s="13"/>
      <c r="AA20" s="13"/>
      <c r="AB20" s="13"/>
    </row>
    <row r="21" spans="2:28" s="33" customFormat="1" ht="63.75" customHeight="1" x14ac:dyDescent="0.25">
      <c r="B21" s="67" t="s">
        <v>67</v>
      </c>
      <c r="C21" s="68"/>
      <c r="D21" s="68"/>
      <c r="E21" s="68"/>
      <c r="F21" s="68"/>
      <c r="G21" s="44"/>
      <c r="H21" s="44"/>
      <c r="I21" s="44"/>
      <c r="J21" s="45"/>
      <c r="K21" s="34"/>
      <c r="L21" s="34"/>
      <c r="M21" s="62"/>
      <c r="N21" s="62"/>
      <c r="O21" s="62"/>
      <c r="P21" s="62"/>
      <c r="Q21" s="62"/>
      <c r="R21" s="62"/>
      <c r="S21" s="62"/>
      <c r="T21" s="63"/>
      <c r="U21" s="63"/>
      <c r="V21" s="62"/>
      <c r="W21" s="62"/>
      <c r="X21" s="62"/>
      <c r="Y21" s="34"/>
      <c r="Z21" s="34"/>
      <c r="AA21" s="34"/>
      <c r="AB21" s="34"/>
    </row>
    <row r="22" spans="2:28" ht="28.5" customHeight="1" x14ac:dyDescent="0.2">
      <c r="B22" s="35" t="s">
        <v>18</v>
      </c>
      <c r="C22" s="36"/>
      <c r="D22" s="36"/>
      <c r="E22" s="43"/>
      <c r="F22" s="43"/>
      <c r="G22" s="65">
        <f>SUM(G25:G3025)</f>
        <v>348712.67999999988</v>
      </c>
      <c r="H22" s="40">
        <f>SUM(H25:H3025)</f>
        <v>102520.19999999998</v>
      </c>
      <c r="I22" s="40">
        <f>SUM(I25:I3025)</f>
        <v>0</v>
      </c>
      <c r="J22" s="40">
        <f>SUM(J25:J3025)</f>
        <v>18318.589999999997</v>
      </c>
    </row>
    <row r="23" spans="2:28" ht="24.75" customHeight="1" x14ac:dyDescent="0.2">
      <c r="B23" s="41" t="s">
        <v>23</v>
      </c>
      <c r="C23" s="53"/>
      <c r="D23" s="53"/>
      <c r="E23" s="53"/>
      <c r="F23" s="53"/>
      <c r="G23" s="53"/>
      <c r="H23" s="53"/>
      <c r="I23" s="53"/>
      <c r="J23" s="54"/>
    </row>
    <row r="24" spans="2:28" s="10" customFormat="1" ht="27" customHeight="1" x14ac:dyDescent="0.25">
      <c r="B24" s="37" t="s">
        <v>19</v>
      </c>
      <c r="C24" s="38" t="s">
        <v>45</v>
      </c>
      <c r="D24" s="38" t="s">
        <v>46</v>
      </c>
      <c r="E24" s="38" t="s">
        <v>68</v>
      </c>
      <c r="F24" s="38" t="s">
        <v>47</v>
      </c>
      <c r="G24" s="38" t="s">
        <v>48</v>
      </c>
      <c r="H24" s="38" t="s">
        <v>49</v>
      </c>
      <c r="I24" s="38" t="s">
        <v>50</v>
      </c>
      <c r="J24" s="39" t="s">
        <v>51</v>
      </c>
      <c r="M24" s="55" t="s">
        <v>24</v>
      </c>
      <c r="N24" s="55" t="s">
        <v>43</v>
      </c>
      <c r="O24" s="55" t="s">
        <v>64</v>
      </c>
      <c r="P24" s="55" t="s">
        <v>65</v>
      </c>
      <c r="Q24" s="55"/>
      <c r="R24" s="55" t="s">
        <v>56</v>
      </c>
      <c r="S24" s="55" t="s">
        <v>55</v>
      </c>
      <c r="T24" s="55" t="s">
        <v>54</v>
      </c>
      <c r="U24" s="55" t="s">
        <v>53</v>
      </c>
      <c r="V24" s="55" t="s">
        <v>52</v>
      </c>
      <c r="W24" s="55"/>
      <c r="X24" s="55" t="s">
        <v>25</v>
      </c>
    </row>
    <row r="25" spans="2:28" ht="15" x14ac:dyDescent="0.25">
      <c r="B25" t="s">
        <v>74</v>
      </c>
      <c r="C25" t="s">
        <v>75</v>
      </c>
      <c r="D25" t="s">
        <v>76</v>
      </c>
      <c r="E25" t="s">
        <v>77</v>
      </c>
      <c r="F25">
        <v>4</v>
      </c>
      <c r="G25">
        <v>1703.92</v>
      </c>
      <c r="H25">
        <v>231.92</v>
      </c>
      <c r="I25">
        <v>0</v>
      </c>
      <c r="J25">
        <v>0</v>
      </c>
      <c r="M25" t="b">
        <f t="shared" ref="M25:M88" si="0">AND(ISBLANK(B25),ISBLANK(C25),ISBLANK(D25),ISBLANK(E25),ISBLANK(F25),ISBLANK(G25),ISBLANK(H25),ISBLANK(I25),ISBLANK(J25))</f>
        <v>0</v>
      </c>
      <c r="N25" t="b">
        <f t="shared" ref="N25:N88" ca="1" si="1">AND(LEN(SUBSTITUTE(B25,"-",""))=6,ISNUMBER(_xludf.NUMBERVALUE(SUBSTITUTE(B25,"-",""))))</f>
        <v>0</v>
      </c>
      <c r="O25" t="b">
        <f t="shared" ref="O25:O88" si="2">LEN(C25)&gt;0</f>
        <v>1</v>
      </c>
      <c r="P25" t="b">
        <f t="shared" ref="P25:P88" ca="1" si="3">OR(N25, AND(O25, TRUE()))</f>
        <v>1</v>
      </c>
      <c r="Q25" t="b">
        <f>TRUE()</f>
        <v>1</v>
      </c>
      <c r="R25" t="b">
        <f t="shared" ref="R25:R88" si="4">AND(ISNUMBER(F25), F25&gt;=1, F25&lt;=5)</f>
        <v>1</v>
      </c>
      <c r="S25" t="b">
        <f t="shared" ref="S25:S88" si="5">AND(ISNUMBER(G25), G25&gt;=SUM(H25,I25))</f>
        <v>1</v>
      </c>
      <c r="T25" t="b">
        <f t="shared" ref="T25:T88" si="6">AND(ISNUMBER(G25), G25&gt;=0)</f>
        <v>1</v>
      </c>
      <c r="U25" t="b">
        <f t="shared" ref="U25:U88" si="7">AND(ISNUMBER(I25), I25&gt;=0, ISNUMBER(H25), H25&gt;=0)</f>
        <v>1</v>
      </c>
      <c r="V25" t="b">
        <f t="shared" ref="V25:V88" si="8">AND(ISNUMBER(J25), J25&gt;=0)</f>
        <v>1</v>
      </c>
      <c r="X25" t="b">
        <f t="shared" ref="X25:X88" ca="1" si="9">OR(M25, AND(P25:V25))</f>
        <v>1</v>
      </c>
    </row>
    <row r="26" spans="2:28" ht="15" x14ac:dyDescent="0.25">
      <c r="B26" t="s">
        <v>78</v>
      </c>
      <c r="C26" t="s">
        <v>79</v>
      </c>
      <c r="D26" t="s">
        <v>80</v>
      </c>
      <c r="E26" t="s">
        <v>77</v>
      </c>
      <c r="F26">
        <v>4</v>
      </c>
      <c r="G26">
        <v>1745.83</v>
      </c>
      <c r="H26">
        <v>69.58</v>
      </c>
      <c r="I26">
        <v>0</v>
      </c>
      <c r="J26">
        <v>0</v>
      </c>
      <c r="M26" t="b">
        <f t="shared" si="0"/>
        <v>0</v>
      </c>
      <c r="N26" t="b">
        <f t="shared" ca="1" si="1"/>
        <v>0</v>
      </c>
      <c r="O26" t="b">
        <f t="shared" si="2"/>
        <v>1</v>
      </c>
      <c r="P26" t="b">
        <f t="shared" ca="1" si="3"/>
        <v>1</v>
      </c>
      <c r="Q26" t="b">
        <f>TRUE()</f>
        <v>1</v>
      </c>
      <c r="R26" t="b">
        <f t="shared" si="4"/>
        <v>1</v>
      </c>
      <c r="S26" t="b">
        <f t="shared" si="5"/>
        <v>1</v>
      </c>
      <c r="T26" t="b">
        <f t="shared" si="6"/>
        <v>1</v>
      </c>
      <c r="U26" t="b">
        <f t="shared" si="7"/>
        <v>1</v>
      </c>
      <c r="V26" t="b">
        <f t="shared" si="8"/>
        <v>1</v>
      </c>
      <c r="X26" t="b">
        <f t="shared" ca="1" si="9"/>
        <v>1</v>
      </c>
    </row>
    <row r="27" spans="2:28" ht="15" x14ac:dyDescent="0.25">
      <c r="B27" t="s">
        <v>81</v>
      </c>
      <c r="C27" t="s">
        <v>82</v>
      </c>
      <c r="D27" t="s">
        <v>83</v>
      </c>
      <c r="E27" t="s">
        <v>77</v>
      </c>
      <c r="F27">
        <v>4</v>
      </c>
      <c r="G27">
        <v>3825.7</v>
      </c>
      <c r="H27">
        <v>1269.7</v>
      </c>
      <c r="I27">
        <v>0</v>
      </c>
      <c r="J27">
        <v>571.79999999999995</v>
      </c>
      <c r="M27" t="b">
        <f t="shared" si="0"/>
        <v>0</v>
      </c>
      <c r="N27" t="b">
        <f t="shared" ca="1" si="1"/>
        <v>0</v>
      </c>
      <c r="O27" t="b">
        <f t="shared" si="2"/>
        <v>1</v>
      </c>
      <c r="P27" t="b">
        <f t="shared" ca="1" si="3"/>
        <v>1</v>
      </c>
      <c r="Q27" t="b">
        <f>TRUE()</f>
        <v>1</v>
      </c>
      <c r="R27" t="b">
        <f t="shared" si="4"/>
        <v>1</v>
      </c>
      <c r="S27" t="b">
        <f t="shared" si="5"/>
        <v>1</v>
      </c>
      <c r="T27" t="b">
        <f t="shared" si="6"/>
        <v>1</v>
      </c>
      <c r="U27" t="b">
        <f t="shared" si="7"/>
        <v>1</v>
      </c>
      <c r="V27" t="b">
        <f t="shared" si="8"/>
        <v>1</v>
      </c>
      <c r="X27" t="b">
        <f t="shared" ca="1" si="9"/>
        <v>1</v>
      </c>
    </row>
    <row r="28" spans="2:28" ht="15" x14ac:dyDescent="0.25">
      <c r="B28" t="s">
        <v>84</v>
      </c>
      <c r="C28" t="s">
        <v>85</v>
      </c>
      <c r="D28" t="s">
        <v>86</v>
      </c>
      <c r="E28" t="s">
        <v>77</v>
      </c>
      <c r="F28">
        <v>4</v>
      </c>
      <c r="G28">
        <v>1458.07</v>
      </c>
      <c r="H28">
        <v>1101.94</v>
      </c>
      <c r="I28">
        <v>0</v>
      </c>
      <c r="J28">
        <v>141.77000000000001</v>
      </c>
      <c r="M28" t="b">
        <f t="shared" si="0"/>
        <v>0</v>
      </c>
      <c r="N28" t="b">
        <f t="shared" ca="1" si="1"/>
        <v>0</v>
      </c>
      <c r="O28" t="b">
        <f t="shared" si="2"/>
        <v>1</v>
      </c>
      <c r="P28" t="b">
        <f t="shared" ca="1" si="3"/>
        <v>1</v>
      </c>
      <c r="Q28" t="b">
        <f>TRUE()</f>
        <v>1</v>
      </c>
      <c r="R28" t="b">
        <f t="shared" si="4"/>
        <v>1</v>
      </c>
      <c r="S28" t="b">
        <f t="shared" si="5"/>
        <v>1</v>
      </c>
      <c r="T28" t="b">
        <f t="shared" si="6"/>
        <v>1</v>
      </c>
      <c r="U28" t="b">
        <f t="shared" si="7"/>
        <v>1</v>
      </c>
      <c r="V28" t="b">
        <f t="shared" si="8"/>
        <v>1</v>
      </c>
      <c r="X28" t="b">
        <f t="shared" ca="1" si="9"/>
        <v>1</v>
      </c>
    </row>
    <row r="29" spans="2:28" ht="15" x14ac:dyDescent="0.25">
      <c r="B29" t="s">
        <v>87</v>
      </c>
      <c r="C29" t="s">
        <v>88</v>
      </c>
      <c r="D29" t="s">
        <v>89</v>
      </c>
      <c r="E29" t="s">
        <v>77</v>
      </c>
      <c r="F29">
        <v>4</v>
      </c>
      <c r="G29">
        <v>1553.94</v>
      </c>
      <c r="H29">
        <v>173.94</v>
      </c>
      <c r="I29">
        <v>0</v>
      </c>
      <c r="J29">
        <v>0</v>
      </c>
      <c r="M29" t="b">
        <f t="shared" si="0"/>
        <v>0</v>
      </c>
      <c r="N29" t="b">
        <f t="shared" ca="1" si="1"/>
        <v>0</v>
      </c>
      <c r="O29" t="b">
        <f t="shared" si="2"/>
        <v>1</v>
      </c>
      <c r="P29" t="b">
        <f t="shared" ca="1" si="3"/>
        <v>1</v>
      </c>
      <c r="Q29" t="b">
        <f>TRUE()</f>
        <v>1</v>
      </c>
      <c r="R29" t="b">
        <f t="shared" si="4"/>
        <v>1</v>
      </c>
      <c r="S29" t="b">
        <f t="shared" si="5"/>
        <v>1</v>
      </c>
      <c r="T29" t="b">
        <f t="shared" si="6"/>
        <v>1</v>
      </c>
      <c r="U29" t="b">
        <f t="shared" si="7"/>
        <v>1</v>
      </c>
      <c r="V29" t="b">
        <f t="shared" si="8"/>
        <v>1</v>
      </c>
      <c r="X29" t="b">
        <f t="shared" ca="1" si="9"/>
        <v>1</v>
      </c>
    </row>
    <row r="30" spans="2:28" ht="15" x14ac:dyDescent="0.25">
      <c r="B30" t="s">
        <v>90</v>
      </c>
      <c r="C30" t="s">
        <v>91</v>
      </c>
      <c r="D30" t="s">
        <v>92</v>
      </c>
      <c r="E30" t="s">
        <v>77</v>
      </c>
      <c r="F30">
        <v>4</v>
      </c>
      <c r="G30">
        <v>1164.47</v>
      </c>
      <c r="H30">
        <v>900.84</v>
      </c>
      <c r="I30">
        <v>0</v>
      </c>
      <c r="J30">
        <v>0</v>
      </c>
      <c r="M30" t="b">
        <f t="shared" si="0"/>
        <v>0</v>
      </c>
      <c r="N30" t="b">
        <f t="shared" ca="1" si="1"/>
        <v>0</v>
      </c>
      <c r="O30" t="b">
        <f t="shared" si="2"/>
        <v>1</v>
      </c>
      <c r="P30" t="b">
        <f t="shared" ca="1" si="3"/>
        <v>1</v>
      </c>
      <c r="Q30" t="b">
        <f>TRUE()</f>
        <v>1</v>
      </c>
      <c r="R30" t="b">
        <f t="shared" si="4"/>
        <v>1</v>
      </c>
      <c r="S30" t="b">
        <f t="shared" si="5"/>
        <v>1</v>
      </c>
      <c r="T30" t="b">
        <f t="shared" si="6"/>
        <v>1</v>
      </c>
      <c r="U30" t="b">
        <f t="shared" si="7"/>
        <v>1</v>
      </c>
      <c r="V30" t="b">
        <f t="shared" si="8"/>
        <v>1</v>
      </c>
      <c r="X30" t="b">
        <f t="shared" ca="1" si="9"/>
        <v>1</v>
      </c>
    </row>
    <row r="31" spans="2:28" ht="15" x14ac:dyDescent="0.25">
      <c r="B31" t="s">
        <v>93</v>
      </c>
      <c r="C31" t="s">
        <v>94</v>
      </c>
      <c r="D31" t="s">
        <v>95</v>
      </c>
      <c r="E31" t="s">
        <v>77</v>
      </c>
      <c r="F31">
        <v>4</v>
      </c>
      <c r="G31">
        <v>4076.39</v>
      </c>
      <c r="H31">
        <v>2096.39</v>
      </c>
      <c r="I31">
        <v>0</v>
      </c>
      <c r="J31">
        <v>634.48</v>
      </c>
      <c r="M31" t="b">
        <f t="shared" si="0"/>
        <v>0</v>
      </c>
      <c r="N31" t="b">
        <f t="shared" ca="1" si="1"/>
        <v>0</v>
      </c>
      <c r="O31" t="b">
        <f t="shared" si="2"/>
        <v>1</v>
      </c>
      <c r="P31" t="b">
        <f t="shared" ca="1" si="3"/>
        <v>1</v>
      </c>
      <c r="Q31" t="b">
        <f>TRUE()</f>
        <v>1</v>
      </c>
      <c r="R31" t="b">
        <f t="shared" si="4"/>
        <v>1</v>
      </c>
      <c r="S31" t="b">
        <f t="shared" si="5"/>
        <v>1</v>
      </c>
      <c r="T31" t="b">
        <f t="shared" si="6"/>
        <v>1</v>
      </c>
      <c r="U31" t="b">
        <f t="shared" si="7"/>
        <v>1</v>
      </c>
      <c r="V31" t="b">
        <f t="shared" si="8"/>
        <v>1</v>
      </c>
      <c r="X31" t="b">
        <f t="shared" ca="1" si="9"/>
        <v>1</v>
      </c>
    </row>
    <row r="32" spans="2:28" ht="15" x14ac:dyDescent="0.25">
      <c r="B32" t="s">
        <v>96</v>
      </c>
      <c r="C32" t="s">
        <v>97</v>
      </c>
      <c r="D32" t="s">
        <v>98</v>
      </c>
      <c r="E32" t="s">
        <v>77</v>
      </c>
      <c r="F32">
        <v>4</v>
      </c>
      <c r="G32">
        <v>834.36</v>
      </c>
      <c r="H32">
        <v>91.23</v>
      </c>
      <c r="I32">
        <v>0</v>
      </c>
      <c r="J32">
        <v>0</v>
      </c>
      <c r="M32" t="b">
        <f t="shared" si="0"/>
        <v>0</v>
      </c>
      <c r="N32" t="b">
        <f t="shared" ca="1" si="1"/>
        <v>0</v>
      </c>
      <c r="O32" t="b">
        <f t="shared" si="2"/>
        <v>1</v>
      </c>
      <c r="P32" t="b">
        <f t="shared" ca="1" si="3"/>
        <v>1</v>
      </c>
      <c r="Q32" t="b">
        <f>TRUE()</f>
        <v>1</v>
      </c>
      <c r="R32" t="b">
        <f t="shared" si="4"/>
        <v>1</v>
      </c>
      <c r="S32" t="b">
        <f t="shared" si="5"/>
        <v>1</v>
      </c>
      <c r="T32" t="b">
        <f t="shared" si="6"/>
        <v>1</v>
      </c>
      <c r="U32" t="b">
        <f t="shared" si="7"/>
        <v>1</v>
      </c>
      <c r="V32" t="b">
        <f t="shared" si="8"/>
        <v>1</v>
      </c>
      <c r="X32" t="b">
        <f t="shared" ca="1" si="9"/>
        <v>1</v>
      </c>
    </row>
    <row r="33" spans="2:24" ht="15" x14ac:dyDescent="0.25">
      <c r="B33" t="s">
        <v>99</v>
      </c>
      <c r="C33" t="s">
        <v>100</v>
      </c>
      <c r="D33" t="s">
        <v>101</v>
      </c>
      <c r="E33" t="s">
        <v>77</v>
      </c>
      <c r="F33">
        <v>4</v>
      </c>
      <c r="G33">
        <v>1505.88</v>
      </c>
      <c r="H33">
        <v>118.75</v>
      </c>
      <c r="I33">
        <v>0</v>
      </c>
      <c r="J33">
        <v>0</v>
      </c>
      <c r="M33" t="b">
        <f t="shared" si="0"/>
        <v>0</v>
      </c>
      <c r="N33" t="b">
        <f t="shared" ca="1" si="1"/>
        <v>0</v>
      </c>
      <c r="O33" t="b">
        <f t="shared" si="2"/>
        <v>1</v>
      </c>
      <c r="P33" t="b">
        <f t="shared" ca="1" si="3"/>
        <v>1</v>
      </c>
      <c r="Q33" t="b">
        <f>TRUE()</f>
        <v>1</v>
      </c>
      <c r="R33" t="b">
        <f t="shared" si="4"/>
        <v>1</v>
      </c>
      <c r="S33" t="b">
        <f t="shared" si="5"/>
        <v>1</v>
      </c>
      <c r="T33" t="b">
        <f t="shared" si="6"/>
        <v>1</v>
      </c>
      <c r="U33" t="b">
        <f t="shared" si="7"/>
        <v>1</v>
      </c>
      <c r="V33" t="b">
        <f t="shared" si="8"/>
        <v>1</v>
      </c>
      <c r="X33" t="b">
        <f t="shared" ca="1" si="9"/>
        <v>1</v>
      </c>
    </row>
    <row r="34" spans="2:24" ht="15" x14ac:dyDescent="0.25">
      <c r="B34" t="s">
        <v>102</v>
      </c>
      <c r="C34" t="s">
        <v>103</v>
      </c>
      <c r="D34" t="s">
        <v>104</v>
      </c>
      <c r="E34" t="s">
        <v>77</v>
      </c>
      <c r="F34">
        <v>4</v>
      </c>
      <c r="G34">
        <v>977.18</v>
      </c>
      <c r="H34">
        <v>711.18</v>
      </c>
      <c r="I34">
        <v>0</v>
      </c>
      <c r="J34">
        <v>0</v>
      </c>
      <c r="M34" t="b">
        <f t="shared" si="0"/>
        <v>0</v>
      </c>
      <c r="N34" t="b">
        <f t="shared" ca="1" si="1"/>
        <v>0</v>
      </c>
      <c r="O34" t="b">
        <f t="shared" si="2"/>
        <v>1</v>
      </c>
      <c r="P34" t="b">
        <f t="shared" ca="1" si="3"/>
        <v>1</v>
      </c>
      <c r="Q34" t="b">
        <f>TRUE()</f>
        <v>1</v>
      </c>
      <c r="R34" t="b">
        <f t="shared" si="4"/>
        <v>1</v>
      </c>
      <c r="S34" t="b">
        <f t="shared" si="5"/>
        <v>1</v>
      </c>
      <c r="T34" t="b">
        <f t="shared" si="6"/>
        <v>1</v>
      </c>
      <c r="U34" t="b">
        <f t="shared" si="7"/>
        <v>1</v>
      </c>
      <c r="V34" t="b">
        <f t="shared" si="8"/>
        <v>1</v>
      </c>
      <c r="X34" t="b">
        <f t="shared" ca="1" si="9"/>
        <v>1</v>
      </c>
    </row>
    <row r="35" spans="2:24" ht="15" x14ac:dyDescent="0.25">
      <c r="B35" t="s">
        <v>105</v>
      </c>
      <c r="C35" t="s">
        <v>106</v>
      </c>
      <c r="D35" t="s">
        <v>107</v>
      </c>
      <c r="E35" t="s">
        <v>77</v>
      </c>
      <c r="F35">
        <v>4</v>
      </c>
      <c r="G35">
        <v>2526.92</v>
      </c>
      <c r="H35">
        <v>231.92</v>
      </c>
      <c r="I35">
        <v>0</v>
      </c>
      <c r="J35">
        <v>247.1</v>
      </c>
      <c r="M35" t="b">
        <f t="shared" si="0"/>
        <v>0</v>
      </c>
      <c r="N35" t="b">
        <f t="shared" ca="1" si="1"/>
        <v>0</v>
      </c>
      <c r="O35" t="b">
        <f t="shared" si="2"/>
        <v>1</v>
      </c>
      <c r="P35" t="b">
        <f t="shared" ca="1" si="3"/>
        <v>1</v>
      </c>
      <c r="Q35" t="b">
        <f>TRUE()</f>
        <v>1</v>
      </c>
      <c r="R35" t="b">
        <f t="shared" si="4"/>
        <v>1</v>
      </c>
      <c r="S35" t="b">
        <f t="shared" si="5"/>
        <v>1</v>
      </c>
      <c r="T35" t="b">
        <f t="shared" si="6"/>
        <v>1</v>
      </c>
      <c r="U35" t="b">
        <f t="shared" si="7"/>
        <v>1</v>
      </c>
      <c r="V35" t="b">
        <f t="shared" si="8"/>
        <v>1</v>
      </c>
      <c r="X35" t="b">
        <f t="shared" ca="1" si="9"/>
        <v>1</v>
      </c>
    </row>
    <row r="36" spans="2:24" ht="15" x14ac:dyDescent="0.25">
      <c r="B36" t="s">
        <v>108</v>
      </c>
      <c r="C36" t="s">
        <v>109</v>
      </c>
      <c r="D36" t="s">
        <v>110</v>
      </c>
      <c r="E36" t="s">
        <v>77</v>
      </c>
      <c r="F36">
        <v>4</v>
      </c>
      <c r="G36">
        <v>1137.54</v>
      </c>
      <c r="H36">
        <v>905.54</v>
      </c>
      <c r="I36">
        <v>0</v>
      </c>
      <c r="J36">
        <v>0</v>
      </c>
      <c r="M36" t="b">
        <f t="shared" si="0"/>
        <v>0</v>
      </c>
      <c r="N36" t="b">
        <f t="shared" ca="1" si="1"/>
        <v>0</v>
      </c>
      <c r="O36" t="b">
        <f t="shared" si="2"/>
        <v>1</v>
      </c>
      <c r="P36" t="b">
        <f t="shared" ca="1" si="3"/>
        <v>1</v>
      </c>
      <c r="Q36" t="b">
        <f>TRUE()</f>
        <v>1</v>
      </c>
      <c r="R36" t="b">
        <f t="shared" si="4"/>
        <v>1</v>
      </c>
      <c r="S36" t="b">
        <f t="shared" si="5"/>
        <v>1</v>
      </c>
      <c r="T36" t="b">
        <f t="shared" si="6"/>
        <v>1</v>
      </c>
      <c r="U36" t="b">
        <f t="shared" si="7"/>
        <v>1</v>
      </c>
      <c r="V36" t="b">
        <f t="shared" si="8"/>
        <v>1</v>
      </c>
      <c r="X36" t="b">
        <f t="shared" ca="1" si="9"/>
        <v>1</v>
      </c>
    </row>
    <row r="37" spans="2:24" ht="15" x14ac:dyDescent="0.25">
      <c r="B37" t="s">
        <v>111</v>
      </c>
      <c r="C37" t="s">
        <v>112</v>
      </c>
      <c r="D37" t="s">
        <v>113</v>
      </c>
      <c r="E37" t="s">
        <v>77</v>
      </c>
      <c r="F37">
        <v>4</v>
      </c>
      <c r="G37">
        <v>1566.51</v>
      </c>
      <c r="H37">
        <v>767.76</v>
      </c>
      <c r="I37">
        <v>0</v>
      </c>
      <c r="J37">
        <v>0</v>
      </c>
      <c r="M37" t="b">
        <f t="shared" si="0"/>
        <v>0</v>
      </c>
      <c r="N37" t="b">
        <f t="shared" ca="1" si="1"/>
        <v>0</v>
      </c>
      <c r="O37" t="b">
        <f t="shared" si="2"/>
        <v>1</v>
      </c>
      <c r="P37" t="b">
        <f t="shared" ca="1" si="3"/>
        <v>1</v>
      </c>
      <c r="Q37" t="b">
        <f>TRUE()</f>
        <v>1</v>
      </c>
      <c r="R37" t="b">
        <f t="shared" si="4"/>
        <v>1</v>
      </c>
      <c r="S37" t="b">
        <f t="shared" si="5"/>
        <v>1</v>
      </c>
      <c r="T37" t="b">
        <f t="shared" si="6"/>
        <v>1</v>
      </c>
      <c r="U37" t="b">
        <f t="shared" si="7"/>
        <v>1</v>
      </c>
      <c r="V37" t="b">
        <f t="shared" si="8"/>
        <v>1</v>
      </c>
      <c r="X37" t="b">
        <f t="shared" ca="1" si="9"/>
        <v>1</v>
      </c>
    </row>
    <row r="38" spans="2:24" ht="15" x14ac:dyDescent="0.25">
      <c r="B38" t="s">
        <v>114</v>
      </c>
      <c r="C38" t="s">
        <v>115</v>
      </c>
      <c r="D38" t="s">
        <v>116</v>
      </c>
      <c r="E38" t="s">
        <v>77</v>
      </c>
      <c r="F38">
        <v>4</v>
      </c>
      <c r="G38">
        <v>1795.84</v>
      </c>
      <c r="H38">
        <v>463.84</v>
      </c>
      <c r="I38">
        <v>0</v>
      </c>
      <c r="J38">
        <v>0</v>
      </c>
      <c r="M38" t="b">
        <f t="shared" si="0"/>
        <v>0</v>
      </c>
      <c r="N38" t="b">
        <f t="shared" ca="1" si="1"/>
        <v>0</v>
      </c>
      <c r="O38" t="b">
        <f t="shared" si="2"/>
        <v>1</v>
      </c>
      <c r="P38" t="b">
        <f t="shared" ca="1" si="3"/>
        <v>1</v>
      </c>
      <c r="Q38" t="b">
        <f>TRUE()</f>
        <v>1</v>
      </c>
      <c r="R38" t="b">
        <f t="shared" si="4"/>
        <v>1</v>
      </c>
      <c r="S38" t="b">
        <f t="shared" si="5"/>
        <v>1</v>
      </c>
      <c r="T38" t="b">
        <f t="shared" si="6"/>
        <v>1</v>
      </c>
      <c r="U38" t="b">
        <f t="shared" si="7"/>
        <v>1</v>
      </c>
      <c r="V38" t="b">
        <f t="shared" si="8"/>
        <v>1</v>
      </c>
      <c r="X38" t="b">
        <f t="shared" ca="1" si="9"/>
        <v>1</v>
      </c>
    </row>
    <row r="39" spans="2:24" ht="15" x14ac:dyDescent="0.25">
      <c r="B39" t="s">
        <v>117</v>
      </c>
      <c r="C39" t="s">
        <v>118</v>
      </c>
      <c r="D39" t="s">
        <v>119</v>
      </c>
      <c r="E39" t="s">
        <v>77</v>
      </c>
      <c r="F39">
        <v>4</v>
      </c>
      <c r="G39">
        <v>6162.72</v>
      </c>
      <c r="H39">
        <v>2022.72</v>
      </c>
      <c r="I39">
        <v>0</v>
      </c>
      <c r="J39">
        <v>1156.06</v>
      </c>
      <c r="M39" t="b">
        <f t="shared" si="0"/>
        <v>0</v>
      </c>
      <c r="N39" t="b">
        <f t="shared" ca="1" si="1"/>
        <v>0</v>
      </c>
      <c r="O39" t="b">
        <f t="shared" si="2"/>
        <v>1</v>
      </c>
      <c r="P39" t="b">
        <f t="shared" ca="1" si="3"/>
        <v>1</v>
      </c>
      <c r="Q39" t="b">
        <f>TRUE()</f>
        <v>1</v>
      </c>
      <c r="R39" t="b">
        <f t="shared" si="4"/>
        <v>1</v>
      </c>
      <c r="S39" t="b">
        <f t="shared" si="5"/>
        <v>1</v>
      </c>
      <c r="T39" t="b">
        <f t="shared" si="6"/>
        <v>1</v>
      </c>
      <c r="U39" t="b">
        <f t="shared" si="7"/>
        <v>1</v>
      </c>
      <c r="V39" t="b">
        <f t="shared" si="8"/>
        <v>1</v>
      </c>
      <c r="X39" t="b">
        <f t="shared" ca="1" si="9"/>
        <v>1</v>
      </c>
    </row>
    <row r="40" spans="2:24" ht="15" x14ac:dyDescent="0.25">
      <c r="B40" t="s">
        <v>120</v>
      </c>
      <c r="C40" t="s">
        <v>121</v>
      </c>
      <c r="D40" t="s">
        <v>122</v>
      </c>
      <c r="E40" t="s">
        <v>77</v>
      </c>
      <c r="F40">
        <v>4</v>
      </c>
      <c r="G40">
        <v>1606.19</v>
      </c>
      <c r="H40">
        <v>173.94</v>
      </c>
      <c r="I40">
        <v>0</v>
      </c>
      <c r="J40">
        <v>0</v>
      </c>
      <c r="M40" t="b">
        <f t="shared" si="0"/>
        <v>0</v>
      </c>
      <c r="N40" t="b">
        <f t="shared" ca="1" si="1"/>
        <v>0</v>
      </c>
      <c r="O40" t="b">
        <f t="shared" si="2"/>
        <v>1</v>
      </c>
      <c r="P40" t="b">
        <f t="shared" ca="1" si="3"/>
        <v>1</v>
      </c>
      <c r="Q40" t="b">
        <f>TRUE()</f>
        <v>1</v>
      </c>
      <c r="R40" t="b">
        <f t="shared" si="4"/>
        <v>1</v>
      </c>
      <c r="S40" t="b">
        <f t="shared" si="5"/>
        <v>1</v>
      </c>
      <c r="T40" t="b">
        <f t="shared" si="6"/>
        <v>1</v>
      </c>
      <c r="U40" t="b">
        <f t="shared" si="7"/>
        <v>1</v>
      </c>
      <c r="V40" t="b">
        <f t="shared" si="8"/>
        <v>1</v>
      </c>
      <c r="X40" t="b">
        <f t="shared" ca="1" si="9"/>
        <v>1</v>
      </c>
    </row>
    <row r="41" spans="2:24" ht="15" x14ac:dyDescent="0.25">
      <c r="B41" t="s">
        <v>123</v>
      </c>
      <c r="C41" t="s">
        <v>124</v>
      </c>
      <c r="D41" t="s">
        <v>125</v>
      </c>
      <c r="E41" t="s">
        <v>77</v>
      </c>
      <c r="F41">
        <v>4</v>
      </c>
      <c r="G41">
        <v>3104.09</v>
      </c>
      <c r="H41">
        <v>397.34</v>
      </c>
      <c r="I41">
        <v>0</v>
      </c>
      <c r="J41">
        <v>391.4</v>
      </c>
      <c r="M41" t="b">
        <f t="shared" si="0"/>
        <v>0</v>
      </c>
      <c r="N41" t="b">
        <f t="shared" ca="1" si="1"/>
        <v>0</v>
      </c>
      <c r="O41" t="b">
        <f t="shared" si="2"/>
        <v>1</v>
      </c>
      <c r="P41" t="b">
        <f t="shared" ca="1" si="3"/>
        <v>1</v>
      </c>
      <c r="Q41" t="b">
        <f>TRUE()</f>
        <v>1</v>
      </c>
      <c r="R41" t="b">
        <f t="shared" si="4"/>
        <v>1</v>
      </c>
      <c r="S41" t="b">
        <f t="shared" si="5"/>
        <v>1</v>
      </c>
      <c r="T41" t="b">
        <f t="shared" si="6"/>
        <v>1</v>
      </c>
      <c r="U41" t="b">
        <f t="shared" si="7"/>
        <v>1</v>
      </c>
      <c r="V41" t="b">
        <f t="shared" si="8"/>
        <v>1</v>
      </c>
      <c r="X41" t="b">
        <f t="shared" ca="1" si="9"/>
        <v>1</v>
      </c>
    </row>
    <row r="42" spans="2:24" ht="15" x14ac:dyDescent="0.25">
      <c r="B42" t="s">
        <v>126</v>
      </c>
      <c r="C42" t="s">
        <v>127</v>
      </c>
      <c r="D42" t="s">
        <v>128</v>
      </c>
      <c r="E42" t="s">
        <v>77</v>
      </c>
      <c r="F42">
        <v>4</v>
      </c>
      <c r="G42">
        <v>1255.96</v>
      </c>
      <c r="H42">
        <v>115.96</v>
      </c>
      <c r="I42">
        <v>0</v>
      </c>
      <c r="J42">
        <v>0</v>
      </c>
      <c r="M42" t="b">
        <f t="shared" si="0"/>
        <v>0</v>
      </c>
      <c r="N42" t="b">
        <f t="shared" ca="1" si="1"/>
        <v>0</v>
      </c>
      <c r="O42" t="b">
        <f t="shared" si="2"/>
        <v>1</v>
      </c>
      <c r="P42" t="b">
        <f t="shared" ca="1" si="3"/>
        <v>1</v>
      </c>
      <c r="Q42" t="b">
        <f>TRUE()</f>
        <v>1</v>
      </c>
      <c r="R42" t="b">
        <f t="shared" si="4"/>
        <v>1</v>
      </c>
      <c r="S42" t="b">
        <f t="shared" si="5"/>
        <v>1</v>
      </c>
      <c r="T42" t="b">
        <f t="shared" si="6"/>
        <v>1</v>
      </c>
      <c r="U42" t="b">
        <f t="shared" si="7"/>
        <v>1</v>
      </c>
      <c r="V42" t="b">
        <f t="shared" si="8"/>
        <v>1</v>
      </c>
      <c r="X42" t="b">
        <f t="shared" ca="1" si="9"/>
        <v>1</v>
      </c>
    </row>
    <row r="43" spans="2:24" ht="15" x14ac:dyDescent="0.25">
      <c r="B43" t="s">
        <v>129</v>
      </c>
      <c r="C43" t="s">
        <v>130</v>
      </c>
      <c r="D43" t="s">
        <v>131</v>
      </c>
      <c r="E43" t="s">
        <v>77</v>
      </c>
      <c r="F43">
        <v>4</v>
      </c>
      <c r="G43">
        <v>1174.94</v>
      </c>
      <c r="H43">
        <v>173.94</v>
      </c>
      <c r="I43">
        <v>0</v>
      </c>
      <c r="J43">
        <v>0</v>
      </c>
      <c r="M43" t="b">
        <f t="shared" si="0"/>
        <v>0</v>
      </c>
      <c r="N43" t="b">
        <f t="shared" ca="1" si="1"/>
        <v>0</v>
      </c>
      <c r="O43" t="b">
        <f t="shared" si="2"/>
        <v>1</v>
      </c>
      <c r="P43" t="b">
        <f t="shared" ca="1" si="3"/>
        <v>1</v>
      </c>
      <c r="Q43" t="b">
        <f>TRUE()</f>
        <v>1</v>
      </c>
      <c r="R43" t="b">
        <f t="shared" si="4"/>
        <v>1</v>
      </c>
      <c r="S43" t="b">
        <f t="shared" si="5"/>
        <v>1</v>
      </c>
      <c r="T43" t="b">
        <f t="shared" si="6"/>
        <v>1</v>
      </c>
      <c r="U43" t="b">
        <f t="shared" si="7"/>
        <v>1</v>
      </c>
      <c r="V43" t="b">
        <f t="shared" si="8"/>
        <v>1</v>
      </c>
      <c r="X43" t="b">
        <f t="shared" ca="1" si="9"/>
        <v>1</v>
      </c>
    </row>
    <row r="44" spans="2:24" ht="15" x14ac:dyDescent="0.25">
      <c r="B44" t="s">
        <v>132</v>
      </c>
      <c r="C44" t="s">
        <v>133</v>
      </c>
      <c r="D44" t="s">
        <v>134</v>
      </c>
      <c r="E44" t="s">
        <v>77</v>
      </c>
      <c r="F44">
        <v>4</v>
      </c>
      <c r="G44">
        <v>1341.92</v>
      </c>
      <c r="H44">
        <v>569.41999999999996</v>
      </c>
      <c r="I44">
        <v>0</v>
      </c>
      <c r="J44">
        <v>0</v>
      </c>
      <c r="M44" t="b">
        <f t="shared" si="0"/>
        <v>0</v>
      </c>
      <c r="N44" t="b">
        <f t="shared" ca="1" si="1"/>
        <v>0</v>
      </c>
      <c r="O44" t="b">
        <f t="shared" si="2"/>
        <v>1</v>
      </c>
      <c r="P44" t="b">
        <f t="shared" ca="1" si="3"/>
        <v>1</v>
      </c>
      <c r="Q44" t="b">
        <f>TRUE()</f>
        <v>1</v>
      </c>
      <c r="R44" t="b">
        <f t="shared" si="4"/>
        <v>1</v>
      </c>
      <c r="S44" t="b">
        <f t="shared" si="5"/>
        <v>1</v>
      </c>
      <c r="T44" t="b">
        <f t="shared" si="6"/>
        <v>1</v>
      </c>
      <c r="U44" t="b">
        <f t="shared" si="7"/>
        <v>1</v>
      </c>
      <c r="V44" t="b">
        <f t="shared" si="8"/>
        <v>1</v>
      </c>
      <c r="X44" t="b">
        <f t="shared" ca="1" si="9"/>
        <v>1</v>
      </c>
    </row>
    <row r="45" spans="2:24" ht="15" x14ac:dyDescent="0.25">
      <c r="B45" t="s">
        <v>135</v>
      </c>
      <c r="C45" t="s">
        <v>136</v>
      </c>
      <c r="D45" t="s">
        <v>137</v>
      </c>
      <c r="E45" t="s">
        <v>77</v>
      </c>
      <c r="F45">
        <v>4</v>
      </c>
      <c r="G45">
        <v>1050.8599999999999</v>
      </c>
      <c r="H45">
        <v>405.86</v>
      </c>
      <c r="I45">
        <v>0</v>
      </c>
      <c r="J45">
        <v>0</v>
      </c>
      <c r="M45" t="b">
        <f t="shared" si="0"/>
        <v>0</v>
      </c>
      <c r="N45" t="b">
        <f t="shared" ca="1" si="1"/>
        <v>0</v>
      </c>
      <c r="O45" t="b">
        <f t="shared" si="2"/>
        <v>1</v>
      </c>
      <c r="P45" t="b">
        <f t="shared" ca="1" si="3"/>
        <v>1</v>
      </c>
      <c r="Q45" t="b">
        <f>TRUE()</f>
        <v>1</v>
      </c>
      <c r="R45" t="b">
        <f t="shared" si="4"/>
        <v>1</v>
      </c>
      <c r="S45" t="b">
        <f t="shared" si="5"/>
        <v>1</v>
      </c>
      <c r="T45" t="b">
        <f t="shared" si="6"/>
        <v>1</v>
      </c>
      <c r="U45" t="b">
        <f t="shared" si="7"/>
        <v>1</v>
      </c>
      <c r="V45" t="b">
        <f t="shared" si="8"/>
        <v>1</v>
      </c>
      <c r="X45" t="b">
        <f t="shared" ca="1" si="9"/>
        <v>1</v>
      </c>
    </row>
    <row r="46" spans="2:24" ht="15" x14ac:dyDescent="0.25">
      <c r="B46" t="s">
        <v>138</v>
      </c>
      <c r="C46" t="s">
        <v>139</v>
      </c>
      <c r="D46" t="s">
        <v>140</v>
      </c>
      <c r="E46" t="s">
        <v>77</v>
      </c>
      <c r="F46">
        <v>4</v>
      </c>
      <c r="G46">
        <v>1303.71</v>
      </c>
      <c r="H46">
        <v>547.71</v>
      </c>
      <c r="I46">
        <v>0</v>
      </c>
      <c r="J46">
        <v>0</v>
      </c>
      <c r="M46" t="b">
        <f t="shared" si="0"/>
        <v>0</v>
      </c>
      <c r="N46" t="b">
        <f t="shared" ca="1" si="1"/>
        <v>0</v>
      </c>
      <c r="O46" t="b">
        <f t="shared" si="2"/>
        <v>1</v>
      </c>
      <c r="P46" t="b">
        <f t="shared" ca="1" si="3"/>
        <v>1</v>
      </c>
      <c r="Q46" t="b">
        <f>TRUE()</f>
        <v>1</v>
      </c>
      <c r="R46" t="b">
        <f t="shared" si="4"/>
        <v>1</v>
      </c>
      <c r="S46" t="b">
        <f t="shared" si="5"/>
        <v>1</v>
      </c>
      <c r="T46" t="b">
        <f t="shared" si="6"/>
        <v>1</v>
      </c>
      <c r="U46" t="b">
        <f t="shared" si="7"/>
        <v>1</v>
      </c>
      <c r="V46" t="b">
        <f t="shared" si="8"/>
        <v>1</v>
      </c>
      <c r="X46" t="b">
        <f t="shared" ca="1" si="9"/>
        <v>1</v>
      </c>
    </row>
    <row r="47" spans="2:24" ht="15" x14ac:dyDescent="0.25">
      <c r="B47" t="s">
        <v>141</v>
      </c>
      <c r="C47" t="s">
        <v>142</v>
      </c>
      <c r="D47" t="s">
        <v>143</v>
      </c>
      <c r="E47" t="s">
        <v>77</v>
      </c>
      <c r="F47">
        <v>4</v>
      </c>
      <c r="G47">
        <v>917.88</v>
      </c>
      <c r="H47">
        <v>361.38</v>
      </c>
      <c r="I47">
        <v>0</v>
      </c>
      <c r="J47">
        <v>0</v>
      </c>
      <c r="M47" t="b">
        <f t="shared" si="0"/>
        <v>0</v>
      </c>
      <c r="N47" t="b">
        <f t="shared" ca="1" si="1"/>
        <v>0</v>
      </c>
      <c r="O47" t="b">
        <f t="shared" si="2"/>
        <v>1</v>
      </c>
      <c r="P47" t="b">
        <f t="shared" ca="1" si="3"/>
        <v>1</v>
      </c>
      <c r="Q47" t="b">
        <f>TRUE()</f>
        <v>1</v>
      </c>
      <c r="R47" t="b">
        <f t="shared" si="4"/>
        <v>1</v>
      </c>
      <c r="S47" t="b">
        <f t="shared" si="5"/>
        <v>1</v>
      </c>
      <c r="T47" t="b">
        <f t="shared" si="6"/>
        <v>1</v>
      </c>
      <c r="U47" t="b">
        <f t="shared" si="7"/>
        <v>1</v>
      </c>
      <c r="V47" t="b">
        <f t="shared" si="8"/>
        <v>1</v>
      </c>
      <c r="X47" t="b">
        <f t="shared" ca="1" si="9"/>
        <v>1</v>
      </c>
    </row>
    <row r="48" spans="2:24" ht="15" x14ac:dyDescent="0.25">
      <c r="B48" t="s">
        <v>144</v>
      </c>
      <c r="C48" t="s">
        <v>145</v>
      </c>
      <c r="D48" t="s">
        <v>146</v>
      </c>
      <c r="E48" t="s">
        <v>77</v>
      </c>
      <c r="F48">
        <v>4</v>
      </c>
      <c r="G48">
        <v>3324.8</v>
      </c>
      <c r="H48">
        <v>1254.8</v>
      </c>
      <c r="I48">
        <v>0</v>
      </c>
      <c r="J48">
        <v>446.58</v>
      </c>
      <c r="M48" t="b">
        <f t="shared" si="0"/>
        <v>0</v>
      </c>
      <c r="N48" t="b">
        <f t="shared" ca="1" si="1"/>
        <v>0</v>
      </c>
      <c r="O48" t="b">
        <f t="shared" si="2"/>
        <v>1</v>
      </c>
      <c r="P48" t="b">
        <f t="shared" ca="1" si="3"/>
        <v>1</v>
      </c>
      <c r="Q48" t="b">
        <f>TRUE()</f>
        <v>1</v>
      </c>
      <c r="R48" t="b">
        <f t="shared" si="4"/>
        <v>1</v>
      </c>
      <c r="S48" t="b">
        <f t="shared" si="5"/>
        <v>1</v>
      </c>
      <c r="T48" t="b">
        <f t="shared" si="6"/>
        <v>1</v>
      </c>
      <c r="U48" t="b">
        <f t="shared" si="7"/>
        <v>1</v>
      </c>
      <c r="V48" t="b">
        <f t="shared" si="8"/>
        <v>1</v>
      </c>
      <c r="X48" t="b">
        <f t="shared" ca="1" si="9"/>
        <v>1</v>
      </c>
    </row>
    <row r="49" spans="2:24" ht="15" x14ac:dyDescent="0.25">
      <c r="B49" t="s">
        <v>147</v>
      </c>
      <c r="C49" t="s">
        <v>148</v>
      </c>
      <c r="D49" t="s">
        <v>149</v>
      </c>
      <c r="E49" t="s">
        <v>77</v>
      </c>
      <c r="F49">
        <v>4</v>
      </c>
      <c r="G49">
        <v>1251.92</v>
      </c>
      <c r="H49">
        <v>231.92</v>
      </c>
      <c r="I49">
        <v>0</v>
      </c>
      <c r="J49">
        <v>0</v>
      </c>
      <c r="M49" t="b">
        <f t="shared" si="0"/>
        <v>0</v>
      </c>
      <c r="N49" t="b">
        <f t="shared" ca="1" si="1"/>
        <v>0</v>
      </c>
      <c r="O49" t="b">
        <f t="shared" si="2"/>
        <v>1</v>
      </c>
      <c r="P49" t="b">
        <f t="shared" ca="1" si="3"/>
        <v>1</v>
      </c>
      <c r="Q49" t="b">
        <f>TRUE()</f>
        <v>1</v>
      </c>
      <c r="R49" t="b">
        <f t="shared" si="4"/>
        <v>1</v>
      </c>
      <c r="S49" t="b">
        <f t="shared" si="5"/>
        <v>1</v>
      </c>
      <c r="T49" t="b">
        <f t="shared" si="6"/>
        <v>1</v>
      </c>
      <c r="U49" t="b">
        <f t="shared" si="7"/>
        <v>1</v>
      </c>
      <c r="V49" t="b">
        <f t="shared" si="8"/>
        <v>1</v>
      </c>
      <c r="X49" t="b">
        <f t="shared" ca="1" si="9"/>
        <v>1</v>
      </c>
    </row>
    <row r="50" spans="2:24" ht="15" x14ac:dyDescent="0.25">
      <c r="B50" t="s">
        <v>150</v>
      </c>
      <c r="C50" t="s">
        <v>151</v>
      </c>
      <c r="D50" t="s">
        <v>152</v>
      </c>
      <c r="E50" t="s">
        <v>77</v>
      </c>
      <c r="F50">
        <v>4</v>
      </c>
      <c r="G50">
        <v>3377.3</v>
      </c>
      <c r="H50">
        <v>579.79999999999995</v>
      </c>
      <c r="I50">
        <v>0</v>
      </c>
      <c r="J50">
        <v>459.7</v>
      </c>
      <c r="M50" t="b">
        <f t="shared" si="0"/>
        <v>0</v>
      </c>
      <c r="N50" t="b">
        <f t="shared" ca="1" si="1"/>
        <v>0</v>
      </c>
      <c r="O50" t="b">
        <f t="shared" si="2"/>
        <v>1</v>
      </c>
      <c r="P50" t="b">
        <f t="shared" ca="1" si="3"/>
        <v>1</v>
      </c>
      <c r="Q50" t="b">
        <f>TRUE()</f>
        <v>1</v>
      </c>
      <c r="R50" t="b">
        <f t="shared" si="4"/>
        <v>1</v>
      </c>
      <c r="S50" t="b">
        <f t="shared" si="5"/>
        <v>1</v>
      </c>
      <c r="T50" t="b">
        <f t="shared" si="6"/>
        <v>1</v>
      </c>
      <c r="U50" t="b">
        <f t="shared" si="7"/>
        <v>1</v>
      </c>
      <c r="V50" t="b">
        <f t="shared" si="8"/>
        <v>1</v>
      </c>
      <c r="X50" t="b">
        <f t="shared" ca="1" si="9"/>
        <v>1</v>
      </c>
    </row>
    <row r="51" spans="2:24" ht="15" x14ac:dyDescent="0.25">
      <c r="B51" t="s">
        <v>153</v>
      </c>
      <c r="C51" t="s">
        <v>154</v>
      </c>
      <c r="D51" t="s">
        <v>155</v>
      </c>
      <c r="E51" t="s">
        <v>77</v>
      </c>
      <c r="F51">
        <v>4</v>
      </c>
      <c r="G51">
        <v>1653.84</v>
      </c>
      <c r="H51">
        <v>463.84</v>
      </c>
      <c r="I51">
        <v>0</v>
      </c>
      <c r="J51">
        <v>0</v>
      </c>
      <c r="M51" t="b">
        <f t="shared" si="0"/>
        <v>0</v>
      </c>
      <c r="N51" t="b">
        <f t="shared" ca="1" si="1"/>
        <v>0</v>
      </c>
      <c r="O51" t="b">
        <f t="shared" si="2"/>
        <v>1</v>
      </c>
      <c r="P51" t="b">
        <f t="shared" ca="1" si="3"/>
        <v>1</v>
      </c>
      <c r="Q51" t="b">
        <f>TRUE()</f>
        <v>1</v>
      </c>
      <c r="R51" t="b">
        <f t="shared" si="4"/>
        <v>1</v>
      </c>
      <c r="S51" t="b">
        <f t="shared" si="5"/>
        <v>1</v>
      </c>
      <c r="T51" t="b">
        <f t="shared" si="6"/>
        <v>1</v>
      </c>
      <c r="U51" t="b">
        <f t="shared" si="7"/>
        <v>1</v>
      </c>
      <c r="V51" t="b">
        <f t="shared" si="8"/>
        <v>1</v>
      </c>
      <c r="X51" t="b">
        <f t="shared" ca="1" si="9"/>
        <v>1</v>
      </c>
    </row>
    <row r="52" spans="2:24" ht="15" x14ac:dyDescent="0.25">
      <c r="B52" t="s">
        <v>156</v>
      </c>
      <c r="C52" t="s">
        <v>157</v>
      </c>
      <c r="D52" t="s">
        <v>158</v>
      </c>
      <c r="E52" t="s">
        <v>77</v>
      </c>
      <c r="F52">
        <v>4</v>
      </c>
      <c r="G52">
        <v>1391.53</v>
      </c>
      <c r="H52">
        <v>637.78</v>
      </c>
      <c r="I52">
        <v>0</v>
      </c>
      <c r="J52">
        <v>0</v>
      </c>
      <c r="M52" t="b">
        <f t="shared" si="0"/>
        <v>0</v>
      </c>
      <c r="N52" t="b">
        <f t="shared" ca="1" si="1"/>
        <v>0</v>
      </c>
      <c r="O52" t="b">
        <f t="shared" si="2"/>
        <v>1</v>
      </c>
      <c r="P52" t="b">
        <f t="shared" ca="1" si="3"/>
        <v>1</v>
      </c>
      <c r="Q52" t="b">
        <f>TRUE()</f>
        <v>1</v>
      </c>
      <c r="R52" t="b">
        <f t="shared" si="4"/>
        <v>1</v>
      </c>
      <c r="S52" t="b">
        <f t="shared" si="5"/>
        <v>1</v>
      </c>
      <c r="T52" t="b">
        <f t="shared" si="6"/>
        <v>1</v>
      </c>
      <c r="U52" t="b">
        <f t="shared" si="7"/>
        <v>1</v>
      </c>
      <c r="V52" t="b">
        <f t="shared" si="8"/>
        <v>1</v>
      </c>
      <c r="X52" t="b">
        <f t="shared" ca="1" si="9"/>
        <v>1</v>
      </c>
    </row>
    <row r="53" spans="2:24" ht="15" x14ac:dyDescent="0.25">
      <c r="B53" t="s">
        <v>159</v>
      </c>
      <c r="C53" t="s">
        <v>160</v>
      </c>
      <c r="D53" t="s">
        <v>161</v>
      </c>
      <c r="E53" t="s">
        <v>77</v>
      </c>
      <c r="F53">
        <v>4</v>
      </c>
      <c r="G53">
        <v>1361.96</v>
      </c>
      <c r="H53">
        <v>115.96</v>
      </c>
      <c r="I53">
        <v>0</v>
      </c>
      <c r="J53">
        <v>0</v>
      </c>
      <c r="M53" t="b">
        <f t="shared" si="0"/>
        <v>0</v>
      </c>
      <c r="N53" t="b">
        <f t="shared" ca="1" si="1"/>
        <v>0</v>
      </c>
      <c r="O53" t="b">
        <f t="shared" si="2"/>
        <v>1</v>
      </c>
      <c r="P53" t="b">
        <f t="shared" ca="1" si="3"/>
        <v>1</v>
      </c>
      <c r="Q53" t="b">
        <f>TRUE()</f>
        <v>1</v>
      </c>
      <c r="R53" t="b">
        <f t="shared" si="4"/>
        <v>1</v>
      </c>
      <c r="S53" t="b">
        <f t="shared" si="5"/>
        <v>1</v>
      </c>
      <c r="T53" t="b">
        <f t="shared" si="6"/>
        <v>1</v>
      </c>
      <c r="U53" t="b">
        <f t="shared" si="7"/>
        <v>1</v>
      </c>
      <c r="V53" t="b">
        <f t="shared" si="8"/>
        <v>1</v>
      </c>
      <c r="X53" t="b">
        <f t="shared" ca="1" si="9"/>
        <v>1</v>
      </c>
    </row>
    <row r="54" spans="2:24" s="80" customFormat="1" ht="15" x14ac:dyDescent="0.25">
      <c r="B54" s="79" t="s">
        <v>162</v>
      </c>
      <c r="C54" s="79" t="s">
        <v>163</v>
      </c>
      <c r="D54" s="79" t="s">
        <v>164</v>
      </c>
      <c r="E54" s="79" t="s">
        <v>77</v>
      </c>
      <c r="F54" s="79">
        <v>4</v>
      </c>
      <c r="G54" s="79">
        <v>904.9</v>
      </c>
      <c r="H54" s="79">
        <v>99.4</v>
      </c>
      <c r="I54" s="79">
        <v>0</v>
      </c>
      <c r="J54" s="79">
        <v>0</v>
      </c>
      <c r="M54" s="79" t="b">
        <f t="shared" si="0"/>
        <v>0</v>
      </c>
      <c r="N54" s="79" t="b">
        <f t="shared" ca="1" si="1"/>
        <v>0</v>
      </c>
      <c r="O54" s="79" t="b">
        <f t="shared" si="2"/>
        <v>1</v>
      </c>
      <c r="P54" s="79" t="b">
        <f t="shared" ca="1" si="3"/>
        <v>1</v>
      </c>
      <c r="Q54" s="79" t="b">
        <f>TRUE()</f>
        <v>1</v>
      </c>
      <c r="R54" s="79" t="b">
        <f t="shared" si="4"/>
        <v>1</v>
      </c>
      <c r="S54" s="79" t="b">
        <f t="shared" si="5"/>
        <v>1</v>
      </c>
      <c r="T54" s="79" t="b">
        <f t="shared" si="6"/>
        <v>1</v>
      </c>
      <c r="U54" s="79" t="b">
        <f t="shared" si="7"/>
        <v>1</v>
      </c>
      <c r="V54" s="79" t="b">
        <f t="shared" si="8"/>
        <v>1</v>
      </c>
      <c r="W54" s="81"/>
      <c r="X54" s="79" t="b">
        <f t="shared" ca="1" si="9"/>
        <v>1</v>
      </c>
    </row>
    <row r="55" spans="2:24" ht="15" x14ac:dyDescent="0.25">
      <c r="B55" t="s">
        <v>165</v>
      </c>
      <c r="C55" t="s">
        <v>166</v>
      </c>
      <c r="D55" t="s">
        <v>167</v>
      </c>
      <c r="E55" t="s">
        <v>77</v>
      </c>
      <c r="F55">
        <v>4</v>
      </c>
      <c r="G55">
        <v>2113.7399999999998</v>
      </c>
      <c r="H55">
        <v>268.67</v>
      </c>
      <c r="I55">
        <v>0</v>
      </c>
      <c r="J55">
        <v>127.95</v>
      </c>
      <c r="M55" t="b">
        <f t="shared" si="0"/>
        <v>0</v>
      </c>
      <c r="N55" t="b">
        <f t="shared" ca="1" si="1"/>
        <v>0</v>
      </c>
      <c r="O55" t="b">
        <f t="shared" si="2"/>
        <v>1</v>
      </c>
      <c r="P55" t="b">
        <f t="shared" ca="1" si="3"/>
        <v>1</v>
      </c>
      <c r="Q55" t="b">
        <f>TRUE()</f>
        <v>1</v>
      </c>
      <c r="R55" t="b">
        <f t="shared" si="4"/>
        <v>1</v>
      </c>
      <c r="S55" t="b">
        <f t="shared" si="5"/>
        <v>1</v>
      </c>
      <c r="T55" t="b">
        <f t="shared" si="6"/>
        <v>1</v>
      </c>
      <c r="U55" t="b">
        <f t="shared" si="7"/>
        <v>1</v>
      </c>
      <c r="V55" t="b">
        <f t="shared" si="8"/>
        <v>1</v>
      </c>
      <c r="X55" t="b">
        <f t="shared" ca="1" si="9"/>
        <v>1</v>
      </c>
    </row>
    <row r="56" spans="2:24" ht="15" x14ac:dyDescent="0.25">
      <c r="B56" t="s">
        <v>168</v>
      </c>
      <c r="C56" t="s">
        <v>169</v>
      </c>
      <c r="D56" t="s">
        <v>170</v>
      </c>
      <c r="E56" t="s">
        <v>77</v>
      </c>
      <c r="F56">
        <v>4</v>
      </c>
      <c r="G56">
        <v>1071.92</v>
      </c>
      <c r="H56">
        <v>1071.92</v>
      </c>
      <c r="I56">
        <v>0</v>
      </c>
      <c r="J56">
        <v>0</v>
      </c>
      <c r="M56" t="b">
        <f t="shared" si="0"/>
        <v>0</v>
      </c>
      <c r="N56" t="b">
        <f t="shared" ca="1" si="1"/>
        <v>0</v>
      </c>
      <c r="O56" t="b">
        <f t="shared" si="2"/>
        <v>1</v>
      </c>
      <c r="P56" t="b">
        <f t="shared" ca="1" si="3"/>
        <v>1</v>
      </c>
      <c r="Q56" t="b">
        <f>TRUE()</f>
        <v>1</v>
      </c>
      <c r="R56" t="b">
        <f t="shared" si="4"/>
        <v>1</v>
      </c>
      <c r="S56" t="b">
        <f t="shared" si="5"/>
        <v>1</v>
      </c>
      <c r="T56" t="b">
        <f t="shared" si="6"/>
        <v>1</v>
      </c>
      <c r="U56" t="b">
        <f t="shared" si="7"/>
        <v>1</v>
      </c>
      <c r="V56" t="b">
        <f t="shared" si="8"/>
        <v>1</v>
      </c>
      <c r="X56" t="b">
        <f t="shared" ca="1" si="9"/>
        <v>1</v>
      </c>
    </row>
    <row r="57" spans="2:24" ht="15" x14ac:dyDescent="0.25">
      <c r="B57" t="s">
        <v>171</v>
      </c>
      <c r="C57" t="s">
        <v>172</v>
      </c>
      <c r="D57" t="s">
        <v>173</v>
      </c>
      <c r="E57" t="s">
        <v>77</v>
      </c>
      <c r="F57">
        <v>4</v>
      </c>
      <c r="G57">
        <v>1089.95</v>
      </c>
      <c r="H57">
        <v>564.95000000000005</v>
      </c>
      <c r="I57">
        <v>0</v>
      </c>
      <c r="J57">
        <v>0</v>
      </c>
      <c r="M57" t="b">
        <f t="shared" si="0"/>
        <v>0</v>
      </c>
      <c r="N57" t="b">
        <f t="shared" ca="1" si="1"/>
        <v>0</v>
      </c>
      <c r="O57" t="b">
        <f t="shared" si="2"/>
        <v>1</v>
      </c>
      <c r="P57" t="b">
        <f t="shared" ca="1" si="3"/>
        <v>1</v>
      </c>
      <c r="Q57" t="b">
        <f>TRUE()</f>
        <v>1</v>
      </c>
      <c r="R57" t="b">
        <f t="shared" si="4"/>
        <v>1</v>
      </c>
      <c r="S57" t="b">
        <f t="shared" si="5"/>
        <v>1</v>
      </c>
      <c r="T57" t="b">
        <f t="shared" si="6"/>
        <v>1</v>
      </c>
      <c r="U57" t="b">
        <f t="shared" si="7"/>
        <v>1</v>
      </c>
      <c r="V57" t="b">
        <f t="shared" si="8"/>
        <v>1</v>
      </c>
      <c r="X57" t="b">
        <f t="shared" ca="1" si="9"/>
        <v>1</v>
      </c>
    </row>
    <row r="58" spans="2:24" ht="15" x14ac:dyDescent="0.25">
      <c r="B58" t="s">
        <v>174</v>
      </c>
      <c r="C58" t="s">
        <v>175</v>
      </c>
      <c r="D58" t="s">
        <v>176</v>
      </c>
      <c r="E58" t="s">
        <v>77</v>
      </c>
      <c r="F58">
        <v>4</v>
      </c>
      <c r="G58">
        <v>1568.92</v>
      </c>
      <c r="H58">
        <v>231.92</v>
      </c>
      <c r="I58">
        <v>0</v>
      </c>
      <c r="J58">
        <v>0</v>
      </c>
      <c r="M58" t="b">
        <f t="shared" si="0"/>
        <v>0</v>
      </c>
      <c r="N58" t="b">
        <f t="shared" ca="1" si="1"/>
        <v>0</v>
      </c>
      <c r="O58" t="b">
        <f t="shared" si="2"/>
        <v>1</v>
      </c>
      <c r="P58" t="b">
        <f t="shared" ca="1" si="3"/>
        <v>1</v>
      </c>
      <c r="Q58" t="b">
        <f>TRUE()</f>
        <v>1</v>
      </c>
      <c r="R58" t="b">
        <f t="shared" si="4"/>
        <v>1</v>
      </c>
      <c r="S58" t="b">
        <f t="shared" si="5"/>
        <v>1</v>
      </c>
      <c r="T58" t="b">
        <f t="shared" si="6"/>
        <v>1</v>
      </c>
      <c r="U58" t="b">
        <f t="shared" si="7"/>
        <v>1</v>
      </c>
      <c r="V58" t="b">
        <f t="shared" si="8"/>
        <v>1</v>
      </c>
      <c r="X58" t="b">
        <f t="shared" ca="1" si="9"/>
        <v>1</v>
      </c>
    </row>
    <row r="59" spans="2:24" ht="15" x14ac:dyDescent="0.25">
      <c r="B59" t="s">
        <v>177</v>
      </c>
      <c r="C59" t="s">
        <v>178</v>
      </c>
      <c r="D59" t="s">
        <v>179</v>
      </c>
      <c r="E59" t="s">
        <v>77</v>
      </c>
      <c r="F59">
        <v>4</v>
      </c>
      <c r="G59">
        <v>997.26</v>
      </c>
      <c r="H59">
        <v>92.76</v>
      </c>
      <c r="I59">
        <v>0</v>
      </c>
      <c r="J59">
        <v>0</v>
      </c>
      <c r="M59" t="b">
        <f t="shared" si="0"/>
        <v>0</v>
      </c>
      <c r="N59" t="b">
        <f t="shared" ca="1" si="1"/>
        <v>0</v>
      </c>
      <c r="O59" t="b">
        <f t="shared" si="2"/>
        <v>1</v>
      </c>
      <c r="P59" t="b">
        <f t="shared" ca="1" si="3"/>
        <v>1</v>
      </c>
      <c r="Q59" t="b">
        <f>TRUE()</f>
        <v>1</v>
      </c>
      <c r="R59" t="b">
        <f t="shared" si="4"/>
        <v>1</v>
      </c>
      <c r="S59" t="b">
        <f t="shared" si="5"/>
        <v>1</v>
      </c>
      <c r="T59" t="b">
        <f t="shared" si="6"/>
        <v>1</v>
      </c>
      <c r="U59" t="b">
        <f t="shared" si="7"/>
        <v>1</v>
      </c>
      <c r="V59" t="b">
        <f t="shared" si="8"/>
        <v>1</v>
      </c>
      <c r="X59" t="b">
        <f t="shared" ca="1" si="9"/>
        <v>1</v>
      </c>
    </row>
    <row r="60" spans="2:24" ht="15" x14ac:dyDescent="0.25">
      <c r="B60" t="s">
        <v>180</v>
      </c>
      <c r="C60" t="s">
        <v>181</v>
      </c>
      <c r="D60" t="s">
        <v>182</v>
      </c>
      <c r="E60" t="s">
        <v>77</v>
      </c>
      <c r="F60">
        <v>4</v>
      </c>
      <c r="G60">
        <v>1356.74</v>
      </c>
      <c r="H60">
        <v>274.86</v>
      </c>
      <c r="I60">
        <v>0</v>
      </c>
      <c r="J60">
        <v>0</v>
      </c>
      <c r="M60" t="b">
        <f t="shared" si="0"/>
        <v>0</v>
      </c>
      <c r="N60" t="b">
        <f t="shared" ca="1" si="1"/>
        <v>0</v>
      </c>
      <c r="O60" t="b">
        <f t="shared" si="2"/>
        <v>1</v>
      </c>
      <c r="P60" t="b">
        <f t="shared" ca="1" si="3"/>
        <v>1</v>
      </c>
      <c r="Q60" t="b">
        <f>TRUE()</f>
        <v>1</v>
      </c>
      <c r="R60" t="b">
        <f t="shared" si="4"/>
        <v>1</v>
      </c>
      <c r="S60" t="b">
        <f t="shared" si="5"/>
        <v>1</v>
      </c>
      <c r="T60" t="b">
        <f t="shared" si="6"/>
        <v>1</v>
      </c>
      <c r="U60" t="b">
        <f t="shared" si="7"/>
        <v>1</v>
      </c>
      <c r="V60" t="b">
        <f t="shared" si="8"/>
        <v>1</v>
      </c>
      <c r="X60" t="b">
        <f t="shared" ca="1" si="9"/>
        <v>1</v>
      </c>
    </row>
    <row r="61" spans="2:24" ht="15" x14ac:dyDescent="0.25">
      <c r="B61" t="s">
        <v>183</v>
      </c>
      <c r="C61" t="s">
        <v>184</v>
      </c>
      <c r="D61" t="s">
        <v>185</v>
      </c>
      <c r="E61" t="s">
        <v>77</v>
      </c>
      <c r="F61">
        <v>4</v>
      </c>
      <c r="G61">
        <v>1903.29</v>
      </c>
      <c r="H61">
        <v>380.04</v>
      </c>
      <c r="I61">
        <v>0</v>
      </c>
      <c r="J61">
        <v>0</v>
      </c>
      <c r="M61" t="b">
        <f t="shared" si="0"/>
        <v>0</v>
      </c>
      <c r="N61" t="b">
        <f t="shared" ca="1" si="1"/>
        <v>0</v>
      </c>
      <c r="O61" t="b">
        <f t="shared" si="2"/>
        <v>1</v>
      </c>
      <c r="P61" t="b">
        <f t="shared" ca="1" si="3"/>
        <v>1</v>
      </c>
      <c r="Q61" t="b">
        <f>TRUE()</f>
        <v>1</v>
      </c>
      <c r="R61" t="b">
        <f t="shared" si="4"/>
        <v>1</v>
      </c>
      <c r="S61" t="b">
        <f t="shared" si="5"/>
        <v>1</v>
      </c>
      <c r="T61" t="b">
        <f t="shared" si="6"/>
        <v>1</v>
      </c>
      <c r="U61" t="b">
        <f t="shared" si="7"/>
        <v>1</v>
      </c>
      <c r="V61" t="b">
        <f t="shared" si="8"/>
        <v>1</v>
      </c>
      <c r="X61" t="b">
        <f t="shared" ca="1" si="9"/>
        <v>1</v>
      </c>
    </row>
    <row r="62" spans="2:24" ht="15" x14ac:dyDescent="0.25">
      <c r="B62" t="s">
        <v>186</v>
      </c>
      <c r="C62" t="s">
        <v>187</v>
      </c>
      <c r="D62" t="s">
        <v>188</v>
      </c>
      <c r="E62" t="s">
        <v>77</v>
      </c>
      <c r="F62">
        <v>4</v>
      </c>
      <c r="G62">
        <v>9200.64</v>
      </c>
      <c r="H62">
        <v>2600.64</v>
      </c>
      <c r="I62">
        <v>0</v>
      </c>
      <c r="J62">
        <v>1915.54</v>
      </c>
      <c r="M62" t="b">
        <f t="shared" si="0"/>
        <v>0</v>
      </c>
      <c r="N62" t="b">
        <f t="shared" ca="1" si="1"/>
        <v>0</v>
      </c>
      <c r="O62" t="b">
        <f t="shared" si="2"/>
        <v>1</v>
      </c>
      <c r="P62" t="b">
        <f t="shared" ca="1" si="3"/>
        <v>1</v>
      </c>
      <c r="Q62" t="b">
        <f>TRUE()</f>
        <v>1</v>
      </c>
      <c r="R62" t="b">
        <f t="shared" si="4"/>
        <v>1</v>
      </c>
      <c r="S62" t="b">
        <f t="shared" si="5"/>
        <v>1</v>
      </c>
      <c r="T62" t="b">
        <f t="shared" si="6"/>
        <v>1</v>
      </c>
      <c r="U62" t="b">
        <f t="shared" si="7"/>
        <v>1</v>
      </c>
      <c r="V62" t="b">
        <f t="shared" si="8"/>
        <v>1</v>
      </c>
      <c r="X62" t="b">
        <f t="shared" ca="1" si="9"/>
        <v>1</v>
      </c>
    </row>
    <row r="63" spans="2:24" ht="15" x14ac:dyDescent="0.25">
      <c r="B63" t="s">
        <v>189</v>
      </c>
      <c r="C63" t="s">
        <v>190</v>
      </c>
      <c r="D63" t="s">
        <v>191</v>
      </c>
      <c r="E63" t="s">
        <v>77</v>
      </c>
      <c r="F63">
        <v>4</v>
      </c>
      <c r="G63">
        <v>3104.7</v>
      </c>
      <c r="H63">
        <v>869.7</v>
      </c>
      <c r="I63">
        <v>0</v>
      </c>
      <c r="J63">
        <v>391.55</v>
      </c>
      <c r="M63" t="b">
        <f t="shared" si="0"/>
        <v>0</v>
      </c>
      <c r="N63" t="b">
        <f t="shared" ca="1" si="1"/>
        <v>0</v>
      </c>
      <c r="O63" t="b">
        <f t="shared" si="2"/>
        <v>1</v>
      </c>
      <c r="P63" t="b">
        <f t="shared" ca="1" si="3"/>
        <v>1</v>
      </c>
      <c r="Q63" t="b">
        <f>TRUE()</f>
        <v>1</v>
      </c>
      <c r="R63" t="b">
        <f t="shared" si="4"/>
        <v>1</v>
      </c>
      <c r="S63" t="b">
        <f t="shared" si="5"/>
        <v>1</v>
      </c>
      <c r="T63" t="b">
        <f t="shared" si="6"/>
        <v>1</v>
      </c>
      <c r="U63" t="b">
        <f t="shared" si="7"/>
        <v>1</v>
      </c>
      <c r="V63" t="b">
        <f t="shared" si="8"/>
        <v>1</v>
      </c>
      <c r="X63" t="b">
        <f t="shared" ca="1" si="9"/>
        <v>1</v>
      </c>
    </row>
    <row r="64" spans="2:24" ht="15" x14ac:dyDescent="0.25">
      <c r="B64" t="s">
        <v>192</v>
      </c>
      <c r="C64" t="s">
        <v>193</v>
      </c>
      <c r="D64" t="s">
        <v>194</v>
      </c>
      <c r="E64" t="s">
        <v>77</v>
      </c>
      <c r="F64">
        <v>4</v>
      </c>
      <c r="G64">
        <v>1202.71</v>
      </c>
      <c r="H64">
        <v>115.96</v>
      </c>
      <c r="I64">
        <v>0</v>
      </c>
      <c r="J64">
        <v>0</v>
      </c>
      <c r="M64" t="b">
        <f t="shared" si="0"/>
        <v>0</v>
      </c>
      <c r="N64" t="b">
        <f t="shared" ca="1" si="1"/>
        <v>0</v>
      </c>
      <c r="O64" t="b">
        <f t="shared" si="2"/>
        <v>1</v>
      </c>
      <c r="P64" t="b">
        <f t="shared" ca="1" si="3"/>
        <v>1</v>
      </c>
      <c r="Q64" t="b">
        <f>TRUE()</f>
        <v>1</v>
      </c>
      <c r="R64" t="b">
        <f t="shared" si="4"/>
        <v>1</v>
      </c>
      <c r="S64" t="b">
        <f t="shared" si="5"/>
        <v>1</v>
      </c>
      <c r="T64" t="b">
        <f t="shared" si="6"/>
        <v>1</v>
      </c>
      <c r="U64" t="b">
        <f t="shared" si="7"/>
        <v>1</v>
      </c>
      <c r="V64" t="b">
        <f t="shared" si="8"/>
        <v>1</v>
      </c>
      <c r="X64" t="b">
        <f t="shared" ca="1" si="9"/>
        <v>1</v>
      </c>
    </row>
    <row r="65" spans="2:24" ht="15" x14ac:dyDescent="0.25">
      <c r="B65" t="s">
        <v>195</v>
      </c>
      <c r="C65" t="s">
        <v>196</v>
      </c>
      <c r="D65" t="s">
        <v>197</v>
      </c>
      <c r="E65" t="s">
        <v>77</v>
      </c>
      <c r="F65">
        <v>4</v>
      </c>
      <c r="G65">
        <v>1527.18</v>
      </c>
      <c r="H65">
        <v>231.92</v>
      </c>
      <c r="I65">
        <v>0</v>
      </c>
      <c r="J65">
        <v>0</v>
      </c>
      <c r="M65" t="b">
        <f t="shared" si="0"/>
        <v>0</v>
      </c>
      <c r="N65" t="b">
        <f t="shared" ca="1" si="1"/>
        <v>0</v>
      </c>
      <c r="O65" t="b">
        <f t="shared" si="2"/>
        <v>1</v>
      </c>
      <c r="P65" t="b">
        <f t="shared" ca="1" si="3"/>
        <v>1</v>
      </c>
      <c r="Q65" t="b">
        <f>TRUE()</f>
        <v>1</v>
      </c>
      <c r="R65" t="b">
        <f t="shared" si="4"/>
        <v>1</v>
      </c>
      <c r="S65" t="b">
        <f t="shared" si="5"/>
        <v>1</v>
      </c>
      <c r="T65" t="b">
        <f t="shared" si="6"/>
        <v>1</v>
      </c>
      <c r="U65" t="b">
        <f t="shared" si="7"/>
        <v>1</v>
      </c>
      <c r="V65" t="b">
        <f t="shared" si="8"/>
        <v>1</v>
      </c>
      <c r="X65" t="b">
        <f t="shared" ca="1" si="9"/>
        <v>1</v>
      </c>
    </row>
    <row r="66" spans="2:24" ht="15" x14ac:dyDescent="0.25">
      <c r="B66" t="s">
        <v>198</v>
      </c>
      <c r="C66" t="s">
        <v>199</v>
      </c>
      <c r="D66" t="s">
        <v>200</v>
      </c>
      <c r="E66" t="s">
        <v>77</v>
      </c>
      <c r="F66">
        <v>4</v>
      </c>
      <c r="G66">
        <v>1787.19</v>
      </c>
      <c r="H66">
        <v>173.94</v>
      </c>
      <c r="I66">
        <v>0</v>
      </c>
      <c r="J66">
        <v>0</v>
      </c>
      <c r="M66" t="b">
        <f t="shared" si="0"/>
        <v>0</v>
      </c>
      <c r="N66" t="b">
        <f t="shared" ca="1" si="1"/>
        <v>0</v>
      </c>
      <c r="O66" t="b">
        <f t="shared" si="2"/>
        <v>1</v>
      </c>
      <c r="P66" t="b">
        <f t="shared" ca="1" si="3"/>
        <v>1</v>
      </c>
      <c r="Q66" t="b">
        <f>TRUE()</f>
        <v>1</v>
      </c>
      <c r="R66" t="b">
        <f t="shared" si="4"/>
        <v>1</v>
      </c>
      <c r="S66" t="b">
        <f t="shared" si="5"/>
        <v>1</v>
      </c>
      <c r="T66" t="b">
        <f t="shared" si="6"/>
        <v>1</v>
      </c>
      <c r="U66" t="b">
        <f t="shared" si="7"/>
        <v>1</v>
      </c>
      <c r="V66" t="b">
        <f t="shared" si="8"/>
        <v>1</v>
      </c>
      <c r="X66" t="b">
        <f t="shared" ca="1" si="9"/>
        <v>1</v>
      </c>
    </row>
    <row r="67" spans="2:24" ht="15" x14ac:dyDescent="0.25">
      <c r="B67" t="s">
        <v>201</v>
      </c>
      <c r="C67" t="s">
        <v>202</v>
      </c>
      <c r="D67" t="s">
        <v>203</v>
      </c>
      <c r="E67" t="s">
        <v>77</v>
      </c>
      <c r="F67">
        <v>4</v>
      </c>
      <c r="G67">
        <v>2837.94</v>
      </c>
      <c r="H67">
        <v>473.94</v>
      </c>
      <c r="I67">
        <v>0</v>
      </c>
      <c r="J67">
        <v>308.51</v>
      </c>
      <c r="M67" t="b">
        <f t="shared" si="0"/>
        <v>0</v>
      </c>
      <c r="N67" t="b">
        <f t="shared" ca="1" si="1"/>
        <v>0</v>
      </c>
      <c r="O67" t="b">
        <f t="shared" si="2"/>
        <v>1</v>
      </c>
      <c r="P67" t="b">
        <f t="shared" ca="1" si="3"/>
        <v>1</v>
      </c>
      <c r="Q67" t="b">
        <f>TRUE()</f>
        <v>1</v>
      </c>
      <c r="R67" t="b">
        <f t="shared" si="4"/>
        <v>1</v>
      </c>
      <c r="S67" t="b">
        <f t="shared" si="5"/>
        <v>1</v>
      </c>
      <c r="T67" t="b">
        <f t="shared" si="6"/>
        <v>1</v>
      </c>
      <c r="U67" t="b">
        <f t="shared" si="7"/>
        <v>1</v>
      </c>
      <c r="V67" t="b">
        <f t="shared" si="8"/>
        <v>1</v>
      </c>
      <c r="X67" t="b">
        <f t="shared" ca="1" si="9"/>
        <v>1</v>
      </c>
    </row>
    <row r="68" spans="2:24" ht="15" x14ac:dyDescent="0.25">
      <c r="B68" t="s">
        <v>204</v>
      </c>
      <c r="C68" t="s">
        <v>205</v>
      </c>
      <c r="D68" t="s">
        <v>206</v>
      </c>
      <c r="E68" t="s">
        <v>77</v>
      </c>
      <c r="F68">
        <v>4</v>
      </c>
      <c r="G68">
        <v>1351.38</v>
      </c>
      <c r="H68">
        <v>347.88</v>
      </c>
      <c r="I68">
        <v>0</v>
      </c>
      <c r="J68">
        <v>0</v>
      </c>
      <c r="M68" t="b">
        <f t="shared" si="0"/>
        <v>0</v>
      </c>
      <c r="N68" t="b">
        <f t="shared" ca="1" si="1"/>
        <v>0</v>
      </c>
      <c r="O68" t="b">
        <f t="shared" si="2"/>
        <v>1</v>
      </c>
      <c r="P68" t="b">
        <f t="shared" ca="1" si="3"/>
        <v>1</v>
      </c>
      <c r="Q68" t="b">
        <f>TRUE()</f>
        <v>1</v>
      </c>
      <c r="R68" t="b">
        <f t="shared" si="4"/>
        <v>1</v>
      </c>
      <c r="S68" t="b">
        <f t="shared" si="5"/>
        <v>1</v>
      </c>
      <c r="T68" t="b">
        <f t="shared" si="6"/>
        <v>1</v>
      </c>
      <c r="U68" t="b">
        <f t="shared" si="7"/>
        <v>1</v>
      </c>
      <c r="V68" t="b">
        <f t="shared" si="8"/>
        <v>1</v>
      </c>
      <c r="X68" t="b">
        <f t="shared" ca="1" si="9"/>
        <v>1</v>
      </c>
    </row>
    <row r="69" spans="2:24" ht="15" x14ac:dyDescent="0.25">
      <c r="B69" t="s">
        <v>207</v>
      </c>
      <c r="C69" t="s">
        <v>208</v>
      </c>
      <c r="D69" t="s">
        <v>209</v>
      </c>
      <c r="E69" t="s">
        <v>77</v>
      </c>
      <c r="F69">
        <v>4</v>
      </c>
      <c r="G69">
        <v>1156.33</v>
      </c>
      <c r="H69">
        <v>251.58</v>
      </c>
      <c r="I69">
        <v>0</v>
      </c>
      <c r="J69">
        <v>0</v>
      </c>
      <c r="M69" t="b">
        <f t="shared" si="0"/>
        <v>0</v>
      </c>
      <c r="N69" t="b">
        <f t="shared" ca="1" si="1"/>
        <v>0</v>
      </c>
      <c r="O69" t="b">
        <f t="shared" si="2"/>
        <v>1</v>
      </c>
      <c r="P69" t="b">
        <f t="shared" ca="1" si="3"/>
        <v>1</v>
      </c>
      <c r="Q69" t="b">
        <f>TRUE()</f>
        <v>1</v>
      </c>
      <c r="R69" t="b">
        <f t="shared" si="4"/>
        <v>1</v>
      </c>
      <c r="S69" t="b">
        <f t="shared" si="5"/>
        <v>1</v>
      </c>
      <c r="T69" t="b">
        <f t="shared" si="6"/>
        <v>1</v>
      </c>
      <c r="U69" t="b">
        <f t="shared" si="7"/>
        <v>1</v>
      </c>
      <c r="V69" t="b">
        <f t="shared" si="8"/>
        <v>1</v>
      </c>
      <c r="X69" t="b">
        <f t="shared" ca="1" si="9"/>
        <v>1</v>
      </c>
    </row>
    <row r="70" spans="2:24" ht="15" x14ac:dyDescent="0.25">
      <c r="B70" t="s">
        <v>210</v>
      </c>
      <c r="C70" t="s">
        <v>211</v>
      </c>
      <c r="D70" t="s">
        <v>212</v>
      </c>
      <c r="E70" t="s">
        <v>77</v>
      </c>
      <c r="F70">
        <v>4</v>
      </c>
      <c r="G70">
        <v>1825.67</v>
      </c>
      <c r="H70">
        <v>231.92</v>
      </c>
      <c r="I70">
        <v>0</v>
      </c>
      <c r="J70">
        <v>0</v>
      </c>
      <c r="M70" t="b">
        <f t="shared" si="0"/>
        <v>0</v>
      </c>
      <c r="N70" t="b">
        <f t="shared" ca="1" si="1"/>
        <v>0</v>
      </c>
      <c r="O70" t="b">
        <f t="shared" si="2"/>
        <v>1</v>
      </c>
      <c r="P70" t="b">
        <f t="shared" ca="1" si="3"/>
        <v>1</v>
      </c>
      <c r="Q70" t="b">
        <f>TRUE()</f>
        <v>1</v>
      </c>
      <c r="R70" t="b">
        <f t="shared" si="4"/>
        <v>1</v>
      </c>
      <c r="S70" t="b">
        <f t="shared" si="5"/>
        <v>1</v>
      </c>
      <c r="T70" t="b">
        <f t="shared" si="6"/>
        <v>1</v>
      </c>
      <c r="U70" t="b">
        <f t="shared" si="7"/>
        <v>1</v>
      </c>
      <c r="V70" t="b">
        <f t="shared" si="8"/>
        <v>1</v>
      </c>
      <c r="X70" t="b">
        <f t="shared" ca="1" si="9"/>
        <v>1</v>
      </c>
    </row>
    <row r="71" spans="2:24" ht="15" x14ac:dyDescent="0.25">
      <c r="B71" t="s">
        <v>213</v>
      </c>
      <c r="C71" t="s">
        <v>214</v>
      </c>
      <c r="D71" t="s">
        <v>215</v>
      </c>
      <c r="E71" t="s">
        <v>77</v>
      </c>
      <c r="F71">
        <v>4</v>
      </c>
      <c r="G71">
        <v>1158.08</v>
      </c>
      <c r="H71">
        <v>69.58</v>
      </c>
      <c r="I71">
        <v>0</v>
      </c>
      <c r="J71">
        <v>0</v>
      </c>
      <c r="M71" t="b">
        <f t="shared" si="0"/>
        <v>0</v>
      </c>
      <c r="N71" t="b">
        <f t="shared" ca="1" si="1"/>
        <v>0</v>
      </c>
      <c r="O71" t="b">
        <f t="shared" si="2"/>
        <v>1</v>
      </c>
      <c r="P71" t="b">
        <f t="shared" ca="1" si="3"/>
        <v>1</v>
      </c>
      <c r="Q71" t="b">
        <f>TRUE()</f>
        <v>1</v>
      </c>
      <c r="R71" t="b">
        <f t="shared" si="4"/>
        <v>1</v>
      </c>
      <c r="S71" t="b">
        <f t="shared" si="5"/>
        <v>1</v>
      </c>
      <c r="T71" t="b">
        <f t="shared" si="6"/>
        <v>1</v>
      </c>
      <c r="U71" t="b">
        <f t="shared" si="7"/>
        <v>1</v>
      </c>
      <c r="V71" t="b">
        <f t="shared" si="8"/>
        <v>1</v>
      </c>
      <c r="X71" t="b">
        <f t="shared" ca="1" si="9"/>
        <v>1</v>
      </c>
    </row>
    <row r="72" spans="2:24" ht="15" x14ac:dyDescent="0.25">
      <c r="B72" t="s">
        <v>216</v>
      </c>
      <c r="C72" t="s">
        <v>217</v>
      </c>
      <c r="D72" t="s">
        <v>218</v>
      </c>
      <c r="E72" t="s">
        <v>77</v>
      </c>
      <c r="F72">
        <v>4</v>
      </c>
      <c r="G72">
        <v>1300.6600000000001</v>
      </c>
      <c r="H72">
        <v>329.41</v>
      </c>
      <c r="I72">
        <v>0</v>
      </c>
      <c r="J72">
        <v>0</v>
      </c>
      <c r="M72" t="b">
        <f t="shared" si="0"/>
        <v>0</v>
      </c>
      <c r="N72" t="b">
        <f t="shared" ca="1" si="1"/>
        <v>0</v>
      </c>
      <c r="O72" t="b">
        <f t="shared" si="2"/>
        <v>1</v>
      </c>
      <c r="P72" t="b">
        <f t="shared" ca="1" si="3"/>
        <v>1</v>
      </c>
      <c r="Q72" t="b">
        <f>TRUE()</f>
        <v>1</v>
      </c>
      <c r="R72" t="b">
        <f t="shared" si="4"/>
        <v>1</v>
      </c>
      <c r="S72" t="b">
        <f t="shared" si="5"/>
        <v>1</v>
      </c>
      <c r="T72" t="b">
        <f t="shared" si="6"/>
        <v>1</v>
      </c>
      <c r="U72" t="b">
        <f t="shared" si="7"/>
        <v>1</v>
      </c>
      <c r="V72" t="b">
        <f t="shared" si="8"/>
        <v>1</v>
      </c>
      <c r="X72" t="b">
        <f t="shared" ca="1" si="9"/>
        <v>1</v>
      </c>
    </row>
    <row r="73" spans="2:24" ht="15" x14ac:dyDescent="0.25">
      <c r="B73" t="s">
        <v>219</v>
      </c>
      <c r="C73" t="s">
        <v>220</v>
      </c>
      <c r="D73" t="s">
        <v>221</v>
      </c>
      <c r="E73" t="s">
        <v>77</v>
      </c>
      <c r="F73">
        <v>4</v>
      </c>
      <c r="G73">
        <v>1963.9</v>
      </c>
      <c r="H73">
        <v>289.89999999999998</v>
      </c>
      <c r="I73">
        <v>0</v>
      </c>
      <c r="J73">
        <v>0</v>
      </c>
      <c r="M73" t="b">
        <f t="shared" si="0"/>
        <v>0</v>
      </c>
      <c r="N73" t="b">
        <f t="shared" ca="1" si="1"/>
        <v>0</v>
      </c>
      <c r="O73" t="b">
        <f t="shared" si="2"/>
        <v>1</v>
      </c>
      <c r="P73" t="b">
        <f t="shared" ca="1" si="3"/>
        <v>1</v>
      </c>
      <c r="Q73" t="b">
        <f>TRUE()</f>
        <v>1</v>
      </c>
      <c r="R73" t="b">
        <f t="shared" si="4"/>
        <v>1</v>
      </c>
      <c r="S73" t="b">
        <f t="shared" si="5"/>
        <v>1</v>
      </c>
      <c r="T73" t="b">
        <f t="shared" si="6"/>
        <v>1</v>
      </c>
      <c r="U73" t="b">
        <f t="shared" si="7"/>
        <v>1</v>
      </c>
      <c r="V73" t="b">
        <f t="shared" si="8"/>
        <v>1</v>
      </c>
      <c r="X73" t="b">
        <f t="shared" ca="1" si="9"/>
        <v>1</v>
      </c>
    </row>
    <row r="74" spans="2:24" ht="15" x14ac:dyDescent="0.25">
      <c r="B74" t="s">
        <v>222</v>
      </c>
      <c r="C74" t="s">
        <v>223</v>
      </c>
      <c r="D74" t="s">
        <v>224</v>
      </c>
      <c r="E74" t="s">
        <v>77</v>
      </c>
      <c r="F74">
        <v>4</v>
      </c>
      <c r="G74">
        <v>1011.96</v>
      </c>
      <c r="H74">
        <v>115.96</v>
      </c>
      <c r="I74">
        <v>0</v>
      </c>
      <c r="J74">
        <v>0</v>
      </c>
      <c r="M74" t="b">
        <f t="shared" si="0"/>
        <v>0</v>
      </c>
      <c r="N74" t="b">
        <f t="shared" ca="1" si="1"/>
        <v>0</v>
      </c>
      <c r="O74" t="b">
        <f t="shared" si="2"/>
        <v>1</v>
      </c>
      <c r="P74" t="b">
        <f t="shared" ca="1" si="3"/>
        <v>1</v>
      </c>
      <c r="Q74" t="b">
        <f>TRUE()</f>
        <v>1</v>
      </c>
      <c r="R74" t="b">
        <f t="shared" si="4"/>
        <v>1</v>
      </c>
      <c r="S74" t="b">
        <f t="shared" si="5"/>
        <v>1</v>
      </c>
      <c r="T74" t="b">
        <f t="shared" si="6"/>
        <v>1</v>
      </c>
      <c r="U74" t="b">
        <f t="shared" si="7"/>
        <v>1</v>
      </c>
      <c r="V74" t="b">
        <f t="shared" si="8"/>
        <v>1</v>
      </c>
      <c r="X74" t="b">
        <f t="shared" ca="1" si="9"/>
        <v>1</v>
      </c>
    </row>
    <row r="75" spans="2:24" ht="15" x14ac:dyDescent="0.25">
      <c r="B75" t="s">
        <v>225</v>
      </c>
      <c r="C75" t="s">
        <v>226</v>
      </c>
      <c r="D75" t="s">
        <v>227</v>
      </c>
      <c r="E75" t="s">
        <v>77</v>
      </c>
      <c r="F75">
        <v>4</v>
      </c>
      <c r="G75">
        <v>2248.5300000000002</v>
      </c>
      <c r="H75">
        <v>637.78</v>
      </c>
      <c r="I75">
        <v>0</v>
      </c>
      <c r="J75">
        <v>32.25</v>
      </c>
      <c r="M75" t="b">
        <f t="shared" si="0"/>
        <v>0</v>
      </c>
      <c r="N75" t="b">
        <f t="shared" ca="1" si="1"/>
        <v>0</v>
      </c>
      <c r="O75" t="b">
        <f t="shared" si="2"/>
        <v>1</v>
      </c>
      <c r="P75" t="b">
        <f t="shared" ca="1" si="3"/>
        <v>1</v>
      </c>
      <c r="Q75" t="b">
        <f>TRUE()</f>
        <v>1</v>
      </c>
      <c r="R75" t="b">
        <f t="shared" si="4"/>
        <v>1</v>
      </c>
      <c r="S75" t="b">
        <f t="shared" si="5"/>
        <v>1</v>
      </c>
      <c r="T75" t="b">
        <f t="shared" si="6"/>
        <v>1</v>
      </c>
      <c r="U75" t="b">
        <f t="shared" si="7"/>
        <v>1</v>
      </c>
      <c r="V75" t="b">
        <f t="shared" si="8"/>
        <v>1</v>
      </c>
      <c r="X75" t="b">
        <f t="shared" ca="1" si="9"/>
        <v>1</v>
      </c>
    </row>
    <row r="76" spans="2:24" ht="15" x14ac:dyDescent="0.25">
      <c r="B76" t="s">
        <v>228</v>
      </c>
      <c r="C76" t="s">
        <v>229</v>
      </c>
      <c r="D76" t="s">
        <v>230</v>
      </c>
      <c r="E76" t="s">
        <v>77</v>
      </c>
      <c r="F76">
        <v>4</v>
      </c>
      <c r="G76">
        <v>3064.8</v>
      </c>
      <c r="H76">
        <v>2254.8000000000002</v>
      </c>
      <c r="I76">
        <v>0</v>
      </c>
      <c r="J76">
        <v>381.58</v>
      </c>
      <c r="M76" t="b">
        <f t="shared" si="0"/>
        <v>0</v>
      </c>
      <c r="N76" t="b">
        <f t="shared" ca="1" si="1"/>
        <v>0</v>
      </c>
      <c r="O76" t="b">
        <f t="shared" si="2"/>
        <v>1</v>
      </c>
      <c r="P76" t="b">
        <f t="shared" ca="1" si="3"/>
        <v>1</v>
      </c>
      <c r="Q76" t="b">
        <f>TRUE()</f>
        <v>1</v>
      </c>
      <c r="R76" t="b">
        <f t="shared" si="4"/>
        <v>1</v>
      </c>
      <c r="S76" t="b">
        <f t="shared" si="5"/>
        <v>1</v>
      </c>
      <c r="T76" t="b">
        <f t="shared" si="6"/>
        <v>1</v>
      </c>
      <c r="U76" t="b">
        <f t="shared" si="7"/>
        <v>1</v>
      </c>
      <c r="V76" t="b">
        <f t="shared" si="8"/>
        <v>1</v>
      </c>
      <c r="X76" t="b">
        <f t="shared" ca="1" si="9"/>
        <v>1</v>
      </c>
    </row>
    <row r="77" spans="2:24" ht="15" x14ac:dyDescent="0.25">
      <c r="B77" t="s">
        <v>231</v>
      </c>
      <c r="C77" t="s">
        <v>232</v>
      </c>
      <c r="D77" t="s">
        <v>233</v>
      </c>
      <c r="E77" t="s">
        <v>77</v>
      </c>
      <c r="F77">
        <v>4</v>
      </c>
      <c r="G77">
        <v>2056.33</v>
      </c>
      <c r="H77">
        <v>736.33</v>
      </c>
      <c r="I77">
        <v>0</v>
      </c>
      <c r="J77">
        <v>130.16</v>
      </c>
      <c r="M77" t="b">
        <f t="shared" si="0"/>
        <v>0</v>
      </c>
      <c r="N77" t="b">
        <f t="shared" ca="1" si="1"/>
        <v>0</v>
      </c>
      <c r="O77" t="b">
        <f t="shared" si="2"/>
        <v>1</v>
      </c>
      <c r="P77" t="b">
        <f t="shared" ca="1" si="3"/>
        <v>1</v>
      </c>
      <c r="Q77" t="b">
        <f>TRUE()</f>
        <v>1</v>
      </c>
      <c r="R77" t="b">
        <f t="shared" si="4"/>
        <v>1</v>
      </c>
      <c r="S77" t="b">
        <f t="shared" si="5"/>
        <v>1</v>
      </c>
      <c r="T77" t="b">
        <f t="shared" si="6"/>
        <v>1</v>
      </c>
      <c r="U77" t="b">
        <f t="shared" si="7"/>
        <v>1</v>
      </c>
      <c r="V77" t="b">
        <f t="shared" si="8"/>
        <v>1</v>
      </c>
      <c r="X77" t="b">
        <f t="shared" ca="1" si="9"/>
        <v>1</v>
      </c>
    </row>
    <row r="78" spans="2:24" ht="15" x14ac:dyDescent="0.25">
      <c r="B78" t="s">
        <v>234</v>
      </c>
      <c r="C78" t="s">
        <v>235</v>
      </c>
      <c r="D78" t="s">
        <v>236</v>
      </c>
      <c r="E78" t="s">
        <v>77</v>
      </c>
      <c r="F78">
        <v>4</v>
      </c>
      <c r="G78">
        <v>1744.17</v>
      </c>
      <c r="H78">
        <v>601.79</v>
      </c>
      <c r="I78">
        <v>0</v>
      </c>
      <c r="J78">
        <v>0</v>
      </c>
      <c r="M78" t="b">
        <f t="shared" si="0"/>
        <v>0</v>
      </c>
      <c r="N78" t="b">
        <f t="shared" ca="1" si="1"/>
        <v>0</v>
      </c>
      <c r="O78" t="b">
        <f t="shared" si="2"/>
        <v>1</v>
      </c>
      <c r="P78" t="b">
        <f t="shared" ca="1" si="3"/>
        <v>1</v>
      </c>
      <c r="Q78" t="b">
        <f>TRUE()</f>
        <v>1</v>
      </c>
      <c r="R78" t="b">
        <f t="shared" si="4"/>
        <v>1</v>
      </c>
      <c r="S78" t="b">
        <f t="shared" si="5"/>
        <v>1</v>
      </c>
      <c r="T78" t="b">
        <f t="shared" si="6"/>
        <v>1</v>
      </c>
      <c r="U78" t="b">
        <f t="shared" si="7"/>
        <v>1</v>
      </c>
      <c r="V78" t="b">
        <f t="shared" si="8"/>
        <v>1</v>
      </c>
      <c r="X78" t="b">
        <f t="shared" ca="1" si="9"/>
        <v>1</v>
      </c>
    </row>
    <row r="79" spans="2:24" ht="15" x14ac:dyDescent="0.25">
      <c r="B79" t="s">
        <v>237</v>
      </c>
      <c r="C79" t="s">
        <v>238</v>
      </c>
      <c r="D79" t="s">
        <v>239</v>
      </c>
      <c r="E79" t="s">
        <v>77</v>
      </c>
      <c r="F79">
        <v>4</v>
      </c>
      <c r="G79">
        <v>720</v>
      </c>
      <c r="H79">
        <v>0</v>
      </c>
      <c r="I79">
        <v>0</v>
      </c>
      <c r="J79">
        <v>0</v>
      </c>
      <c r="M79" t="b">
        <f t="shared" si="0"/>
        <v>0</v>
      </c>
      <c r="N79" t="b">
        <f t="shared" ca="1" si="1"/>
        <v>0</v>
      </c>
      <c r="O79" t="b">
        <f t="shared" si="2"/>
        <v>1</v>
      </c>
      <c r="P79" t="b">
        <f t="shared" ca="1" si="3"/>
        <v>1</v>
      </c>
      <c r="Q79" t="b">
        <f>TRUE()</f>
        <v>1</v>
      </c>
      <c r="R79" t="b">
        <f t="shared" si="4"/>
        <v>1</v>
      </c>
      <c r="S79" t="b">
        <f t="shared" si="5"/>
        <v>1</v>
      </c>
      <c r="T79" t="b">
        <f t="shared" si="6"/>
        <v>1</v>
      </c>
      <c r="U79" t="b">
        <f t="shared" si="7"/>
        <v>1</v>
      </c>
      <c r="V79" t="b">
        <f t="shared" si="8"/>
        <v>1</v>
      </c>
      <c r="X79" t="b">
        <f t="shared" ca="1" si="9"/>
        <v>1</v>
      </c>
    </row>
    <row r="80" spans="2:24" ht="15" x14ac:dyDescent="0.25">
      <c r="B80" t="s">
        <v>240</v>
      </c>
      <c r="C80" t="s">
        <v>241</v>
      </c>
      <c r="D80" t="s">
        <v>242</v>
      </c>
      <c r="E80" t="s">
        <v>77</v>
      </c>
      <c r="F80">
        <v>4</v>
      </c>
      <c r="G80">
        <v>1067.96</v>
      </c>
      <c r="H80">
        <v>115.96</v>
      </c>
      <c r="I80">
        <v>0</v>
      </c>
      <c r="J80">
        <v>0</v>
      </c>
      <c r="M80" t="b">
        <f t="shared" si="0"/>
        <v>0</v>
      </c>
      <c r="N80" t="b">
        <f t="shared" ca="1" si="1"/>
        <v>0</v>
      </c>
      <c r="O80" t="b">
        <f t="shared" si="2"/>
        <v>1</v>
      </c>
      <c r="P80" t="b">
        <f t="shared" ca="1" si="3"/>
        <v>1</v>
      </c>
      <c r="Q80" t="b">
        <f>TRUE()</f>
        <v>1</v>
      </c>
      <c r="R80" t="b">
        <f t="shared" si="4"/>
        <v>1</v>
      </c>
      <c r="S80" t="b">
        <f t="shared" si="5"/>
        <v>1</v>
      </c>
      <c r="T80" t="b">
        <f t="shared" si="6"/>
        <v>1</v>
      </c>
      <c r="U80" t="b">
        <f t="shared" si="7"/>
        <v>1</v>
      </c>
      <c r="V80" t="b">
        <f t="shared" si="8"/>
        <v>1</v>
      </c>
      <c r="X80" t="b">
        <f t="shared" ca="1" si="9"/>
        <v>1</v>
      </c>
    </row>
    <row r="81" spans="2:24" ht="15" x14ac:dyDescent="0.25">
      <c r="B81" t="s">
        <v>243</v>
      </c>
      <c r="C81" t="s">
        <v>244</v>
      </c>
      <c r="D81" t="s">
        <v>245</v>
      </c>
      <c r="E81" t="s">
        <v>77</v>
      </c>
      <c r="F81">
        <v>4</v>
      </c>
      <c r="G81">
        <v>1396.36</v>
      </c>
      <c r="H81">
        <v>241.35</v>
      </c>
      <c r="I81">
        <v>0</v>
      </c>
      <c r="J81">
        <v>0</v>
      </c>
      <c r="M81" t="b">
        <f t="shared" si="0"/>
        <v>0</v>
      </c>
      <c r="N81" t="b">
        <f t="shared" ca="1" si="1"/>
        <v>0</v>
      </c>
      <c r="O81" t="b">
        <f t="shared" si="2"/>
        <v>1</v>
      </c>
      <c r="P81" t="b">
        <f t="shared" ca="1" si="3"/>
        <v>1</v>
      </c>
      <c r="Q81" t="b">
        <f>TRUE()</f>
        <v>1</v>
      </c>
      <c r="R81" t="b">
        <f t="shared" si="4"/>
        <v>1</v>
      </c>
      <c r="S81" t="b">
        <f t="shared" si="5"/>
        <v>1</v>
      </c>
      <c r="T81" t="b">
        <f t="shared" si="6"/>
        <v>1</v>
      </c>
      <c r="U81" t="b">
        <f t="shared" si="7"/>
        <v>1</v>
      </c>
      <c r="V81" t="b">
        <f t="shared" si="8"/>
        <v>1</v>
      </c>
      <c r="X81" t="b">
        <f t="shared" ca="1" si="9"/>
        <v>1</v>
      </c>
    </row>
    <row r="82" spans="2:24" ht="15" x14ac:dyDescent="0.25">
      <c r="B82" t="s">
        <v>246</v>
      </c>
      <c r="C82" t="s">
        <v>247</v>
      </c>
      <c r="D82" t="s">
        <v>248</v>
      </c>
      <c r="E82" t="s">
        <v>77</v>
      </c>
      <c r="F82">
        <v>4</v>
      </c>
      <c r="G82">
        <v>1109.96</v>
      </c>
      <c r="H82">
        <v>115.96</v>
      </c>
      <c r="I82">
        <v>0</v>
      </c>
      <c r="J82">
        <v>0</v>
      </c>
      <c r="M82" t="b">
        <f t="shared" si="0"/>
        <v>0</v>
      </c>
      <c r="N82" t="b">
        <f t="shared" ca="1" si="1"/>
        <v>0</v>
      </c>
      <c r="O82" t="b">
        <f t="shared" si="2"/>
        <v>1</v>
      </c>
      <c r="P82" t="b">
        <f t="shared" ca="1" si="3"/>
        <v>1</v>
      </c>
      <c r="Q82" t="b">
        <f>TRUE()</f>
        <v>1</v>
      </c>
      <c r="R82" t="b">
        <f t="shared" si="4"/>
        <v>1</v>
      </c>
      <c r="S82" t="b">
        <f t="shared" si="5"/>
        <v>1</v>
      </c>
      <c r="T82" t="b">
        <f t="shared" si="6"/>
        <v>1</v>
      </c>
      <c r="U82" t="b">
        <f t="shared" si="7"/>
        <v>1</v>
      </c>
      <c r="V82" t="b">
        <f t="shared" si="8"/>
        <v>1</v>
      </c>
      <c r="X82" t="b">
        <f t="shared" ca="1" si="9"/>
        <v>1</v>
      </c>
    </row>
    <row r="83" spans="2:24" ht="15" x14ac:dyDescent="0.25">
      <c r="B83" t="s">
        <v>249</v>
      </c>
      <c r="C83" t="s">
        <v>250</v>
      </c>
      <c r="D83" t="s">
        <v>251</v>
      </c>
      <c r="E83" t="s">
        <v>77</v>
      </c>
      <c r="F83">
        <v>4</v>
      </c>
      <c r="G83">
        <v>1155.3699999999999</v>
      </c>
      <c r="H83">
        <v>107.74</v>
      </c>
      <c r="I83">
        <v>0</v>
      </c>
      <c r="J83">
        <v>0</v>
      </c>
      <c r="M83" t="b">
        <f t="shared" si="0"/>
        <v>0</v>
      </c>
      <c r="N83" t="b">
        <f t="shared" ca="1" si="1"/>
        <v>0</v>
      </c>
      <c r="O83" t="b">
        <f t="shared" si="2"/>
        <v>1</v>
      </c>
      <c r="P83" t="b">
        <f t="shared" ca="1" si="3"/>
        <v>1</v>
      </c>
      <c r="Q83" t="b">
        <f>TRUE()</f>
        <v>1</v>
      </c>
      <c r="R83" t="b">
        <f t="shared" si="4"/>
        <v>1</v>
      </c>
      <c r="S83" t="b">
        <f t="shared" si="5"/>
        <v>1</v>
      </c>
      <c r="T83" t="b">
        <f t="shared" si="6"/>
        <v>1</v>
      </c>
      <c r="U83" t="b">
        <f t="shared" si="7"/>
        <v>1</v>
      </c>
      <c r="V83" t="b">
        <f t="shared" si="8"/>
        <v>1</v>
      </c>
      <c r="X83" t="b">
        <f t="shared" ca="1" si="9"/>
        <v>1</v>
      </c>
    </row>
    <row r="84" spans="2:24" ht="15" x14ac:dyDescent="0.25">
      <c r="B84" t="s">
        <v>252</v>
      </c>
      <c r="C84" t="s">
        <v>253</v>
      </c>
      <c r="D84" t="s">
        <v>254</v>
      </c>
      <c r="E84" t="s">
        <v>77</v>
      </c>
      <c r="F84">
        <v>4</v>
      </c>
      <c r="G84">
        <v>2166.34</v>
      </c>
      <c r="H84">
        <v>463.84</v>
      </c>
      <c r="I84">
        <v>0</v>
      </c>
      <c r="J84">
        <v>19.03</v>
      </c>
      <c r="M84" t="b">
        <f t="shared" si="0"/>
        <v>0</v>
      </c>
      <c r="N84" t="b">
        <f t="shared" ca="1" si="1"/>
        <v>0</v>
      </c>
      <c r="O84" t="b">
        <f t="shared" si="2"/>
        <v>1</v>
      </c>
      <c r="P84" t="b">
        <f t="shared" ca="1" si="3"/>
        <v>1</v>
      </c>
      <c r="Q84" t="b">
        <f>TRUE()</f>
        <v>1</v>
      </c>
      <c r="R84" t="b">
        <f t="shared" si="4"/>
        <v>1</v>
      </c>
      <c r="S84" t="b">
        <f t="shared" si="5"/>
        <v>1</v>
      </c>
      <c r="T84" t="b">
        <f t="shared" si="6"/>
        <v>1</v>
      </c>
      <c r="U84" t="b">
        <f t="shared" si="7"/>
        <v>1</v>
      </c>
      <c r="V84" t="b">
        <f t="shared" si="8"/>
        <v>1</v>
      </c>
      <c r="X84" t="b">
        <f t="shared" ca="1" si="9"/>
        <v>1</v>
      </c>
    </row>
    <row r="85" spans="2:24" ht="15" x14ac:dyDescent="0.25">
      <c r="B85" t="s">
        <v>255</v>
      </c>
      <c r="C85" t="s">
        <v>256</v>
      </c>
      <c r="D85" t="s">
        <v>257</v>
      </c>
      <c r="E85" t="s">
        <v>77</v>
      </c>
      <c r="F85">
        <v>4</v>
      </c>
      <c r="G85">
        <v>1373.94</v>
      </c>
      <c r="H85">
        <v>848.94</v>
      </c>
      <c r="I85">
        <v>0</v>
      </c>
      <c r="J85">
        <v>0</v>
      </c>
      <c r="M85" t="b">
        <f t="shared" si="0"/>
        <v>0</v>
      </c>
      <c r="N85" t="b">
        <f t="shared" ca="1" si="1"/>
        <v>0</v>
      </c>
      <c r="O85" t="b">
        <f t="shared" si="2"/>
        <v>1</v>
      </c>
      <c r="P85" t="b">
        <f t="shared" ca="1" si="3"/>
        <v>1</v>
      </c>
      <c r="Q85" t="b">
        <f>TRUE()</f>
        <v>1</v>
      </c>
      <c r="R85" t="b">
        <f t="shared" si="4"/>
        <v>1</v>
      </c>
      <c r="S85" t="b">
        <f t="shared" si="5"/>
        <v>1</v>
      </c>
      <c r="T85" t="b">
        <f t="shared" si="6"/>
        <v>1</v>
      </c>
      <c r="U85" t="b">
        <f t="shared" si="7"/>
        <v>1</v>
      </c>
      <c r="V85" t="b">
        <f t="shared" si="8"/>
        <v>1</v>
      </c>
      <c r="X85" t="b">
        <f t="shared" ca="1" si="9"/>
        <v>1</v>
      </c>
    </row>
    <row r="86" spans="2:24" ht="15" x14ac:dyDescent="0.25">
      <c r="B86" t="s">
        <v>258</v>
      </c>
      <c r="C86" t="s">
        <v>259</v>
      </c>
      <c r="D86" t="s">
        <v>260</v>
      </c>
      <c r="E86" t="s">
        <v>77</v>
      </c>
      <c r="F86">
        <v>4</v>
      </c>
      <c r="G86">
        <v>1361.06</v>
      </c>
      <c r="H86">
        <v>484.49</v>
      </c>
      <c r="I86">
        <v>0</v>
      </c>
      <c r="J86">
        <v>0</v>
      </c>
      <c r="M86" t="b">
        <f t="shared" si="0"/>
        <v>0</v>
      </c>
      <c r="N86" t="b">
        <f t="shared" ca="1" si="1"/>
        <v>0</v>
      </c>
      <c r="O86" t="b">
        <f t="shared" si="2"/>
        <v>1</v>
      </c>
      <c r="P86" t="b">
        <f t="shared" ca="1" si="3"/>
        <v>1</v>
      </c>
      <c r="Q86" t="b">
        <f>TRUE()</f>
        <v>1</v>
      </c>
      <c r="R86" t="b">
        <f t="shared" si="4"/>
        <v>1</v>
      </c>
      <c r="S86" t="b">
        <f t="shared" si="5"/>
        <v>1</v>
      </c>
      <c r="T86" t="b">
        <f t="shared" si="6"/>
        <v>1</v>
      </c>
      <c r="U86" t="b">
        <f t="shared" si="7"/>
        <v>1</v>
      </c>
      <c r="V86" t="b">
        <f t="shared" si="8"/>
        <v>1</v>
      </c>
      <c r="X86" t="b">
        <f t="shared" ca="1" si="9"/>
        <v>1</v>
      </c>
    </row>
    <row r="87" spans="2:24" ht="15" x14ac:dyDescent="0.25">
      <c r="B87" t="s">
        <v>261</v>
      </c>
      <c r="C87" t="s">
        <v>262</v>
      </c>
      <c r="D87" t="s">
        <v>263</v>
      </c>
      <c r="E87" t="s">
        <v>77</v>
      </c>
      <c r="F87">
        <v>4</v>
      </c>
      <c r="G87">
        <v>3113.45</v>
      </c>
      <c r="H87">
        <v>869.7</v>
      </c>
      <c r="I87">
        <v>0</v>
      </c>
      <c r="J87">
        <v>393.74</v>
      </c>
      <c r="M87" t="b">
        <f t="shared" si="0"/>
        <v>0</v>
      </c>
      <c r="N87" t="b">
        <f t="shared" ca="1" si="1"/>
        <v>0</v>
      </c>
      <c r="O87" t="b">
        <f t="shared" si="2"/>
        <v>1</v>
      </c>
      <c r="P87" t="b">
        <f t="shared" ca="1" si="3"/>
        <v>1</v>
      </c>
      <c r="Q87" t="b">
        <f>TRUE()</f>
        <v>1</v>
      </c>
      <c r="R87" t="b">
        <f t="shared" si="4"/>
        <v>1</v>
      </c>
      <c r="S87" t="b">
        <f t="shared" si="5"/>
        <v>1</v>
      </c>
      <c r="T87" t="b">
        <f t="shared" si="6"/>
        <v>1</v>
      </c>
      <c r="U87" t="b">
        <f t="shared" si="7"/>
        <v>1</v>
      </c>
      <c r="V87" t="b">
        <f t="shared" si="8"/>
        <v>1</v>
      </c>
      <c r="X87" t="b">
        <f t="shared" ca="1" si="9"/>
        <v>1</v>
      </c>
    </row>
    <row r="88" spans="2:24" ht="15" x14ac:dyDescent="0.25">
      <c r="B88" t="s">
        <v>264</v>
      </c>
      <c r="C88" t="s">
        <v>265</v>
      </c>
      <c r="D88" t="s">
        <v>266</v>
      </c>
      <c r="E88" t="s">
        <v>77</v>
      </c>
      <c r="F88">
        <v>4</v>
      </c>
      <c r="G88">
        <v>1505.94</v>
      </c>
      <c r="H88">
        <v>893.94</v>
      </c>
      <c r="I88">
        <v>0</v>
      </c>
      <c r="J88">
        <v>0</v>
      </c>
      <c r="M88" t="b">
        <f t="shared" si="0"/>
        <v>0</v>
      </c>
      <c r="N88" t="b">
        <f t="shared" ca="1" si="1"/>
        <v>0</v>
      </c>
      <c r="O88" t="b">
        <f t="shared" si="2"/>
        <v>1</v>
      </c>
      <c r="P88" t="b">
        <f t="shared" ca="1" si="3"/>
        <v>1</v>
      </c>
      <c r="Q88" t="b">
        <f>TRUE()</f>
        <v>1</v>
      </c>
      <c r="R88" t="b">
        <f t="shared" si="4"/>
        <v>1</v>
      </c>
      <c r="S88" t="b">
        <f t="shared" si="5"/>
        <v>1</v>
      </c>
      <c r="T88" t="b">
        <f t="shared" si="6"/>
        <v>1</v>
      </c>
      <c r="U88" t="b">
        <f t="shared" si="7"/>
        <v>1</v>
      </c>
      <c r="V88" t="b">
        <f t="shared" si="8"/>
        <v>1</v>
      </c>
      <c r="X88" t="b">
        <f t="shared" ca="1" si="9"/>
        <v>1</v>
      </c>
    </row>
    <row r="89" spans="2:24" ht="15" x14ac:dyDescent="0.25">
      <c r="B89" t="s">
        <v>267</v>
      </c>
      <c r="C89" t="s">
        <v>268</v>
      </c>
      <c r="D89" t="s">
        <v>269</v>
      </c>
      <c r="E89" t="s">
        <v>77</v>
      </c>
      <c r="F89">
        <v>4</v>
      </c>
      <c r="G89">
        <v>1980.36</v>
      </c>
      <c r="H89">
        <v>678.36</v>
      </c>
      <c r="I89">
        <v>0</v>
      </c>
      <c r="J89">
        <v>0</v>
      </c>
      <c r="M89" t="b">
        <f t="shared" ref="M89:M152" si="10">AND(ISBLANK(B89),ISBLANK(C89),ISBLANK(D89),ISBLANK(E89),ISBLANK(F89),ISBLANK(G89),ISBLANK(H89),ISBLANK(I89),ISBLANK(J89))</f>
        <v>0</v>
      </c>
      <c r="N89" t="b">
        <f t="shared" ref="N89:N152" ca="1" si="11">AND(LEN(SUBSTITUTE(B89,"-",""))=6,ISNUMBER(_xludf.NUMBERVALUE(SUBSTITUTE(B89,"-",""))))</f>
        <v>0</v>
      </c>
      <c r="O89" t="b">
        <f t="shared" ref="O89:O152" si="12">LEN(C89)&gt;0</f>
        <v>1</v>
      </c>
      <c r="P89" t="b">
        <f t="shared" ref="P89:P152" ca="1" si="13">OR(N89, AND(O89, TRUE()))</f>
        <v>1</v>
      </c>
      <c r="Q89" t="b">
        <f>TRUE()</f>
        <v>1</v>
      </c>
      <c r="R89" t="b">
        <f t="shared" ref="R89:R152" si="14">AND(ISNUMBER(F89), F89&gt;=1, F89&lt;=5)</f>
        <v>1</v>
      </c>
      <c r="S89" t="b">
        <f t="shared" ref="S89:S152" si="15">AND(ISNUMBER(G89), G89&gt;=SUM(H89,I89))</f>
        <v>1</v>
      </c>
      <c r="T89" t="b">
        <f t="shared" ref="T89:T152" si="16">AND(ISNUMBER(G89), G89&gt;=0)</f>
        <v>1</v>
      </c>
      <c r="U89" t="b">
        <f t="shared" ref="U89:U152" si="17">AND(ISNUMBER(I89), I89&gt;=0, ISNUMBER(H89), H89&gt;=0)</f>
        <v>1</v>
      </c>
      <c r="V89" t="b">
        <f t="shared" ref="V89:V152" si="18">AND(ISNUMBER(J89), J89&gt;=0)</f>
        <v>1</v>
      </c>
      <c r="X89" t="b">
        <f t="shared" ref="X89:X152" ca="1" si="19">OR(M89, AND(P89:V89))</f>
        <v>1</v>
      </c>
    </row>
    <row r="90" spans="2:24" ht="15" x14ac:dyDescent="0.25">
      <c r="B90" t="s">
        <v>270</v>
      </c>
      <c r="C90" t="s">
        <v>271</v>
      </c>
      <c r="D90" t="s">
        <v>272</v>
      </c>
      <c r="E90" t="s">
        <v>77</v>
      </c>
      <c r="F90">
        <v>4</v>
      </c>
      <c r="G90">
        <v>1259.3900000000001</v>
      </c>
      <c r="H90">
        <v>164.39</v>
      </c>
      <c r="I90">
        <v>0</v>
      </c>
      <c r="J90">
        <v>0</v>
      </c>
      <c r="M90" t="b">
        <f t="shared" si="10"/>
        <v>0</v>
      </c>
      <c r="N90" t="b">
        <f t="shared" ca="1" si="11"/>
        <v>0</v>
      </c>
      <c r="O90" t="b">
        <f t="shared" si="12"/>
        <v>1</v>
      </c>
      <c r="P90" t="b">
        <f t="shared" ca="1" si="13"/>
        <v>1</v>
      </c>
      <c r="Q90" t="b">
        <f>TRUE()</f>
        <v>1</v>
      </c>
      <c r="R90" t="b">
        <f t="shared" si="14"/>
        <v>1</v>
      </c>
      <c r="S90" t="b">
        <f t="shared" si="15"/>
        <v>1</v>
      </c>
      <c r="T90" t="b">
        <f t="shared" si="16"/>
        <v>1</v>
      </c>
      <c r="U90" t="b">
        <f t="shared" si="17"/>
        <v>1</v>
      </c>
      <c r="V90" t="b">
        <f t="shared" si="18"/>
        <v>1</v>
      </c>
      <c r="X90" t="b">
        <f t="shared" ca="1" si="19"/>
        <v>1</v>
      </c>
    </row>
    <row r="91" spans="2:24" ht="15" x14ac:dyDescent="0.25">
      <c r="B91" t="s">
        <v>273</v>
      </c>
      <c r="C91" t="s">
        <v>274</v>
      </c>
      <c r="D91" t="s">
        <v>275</v>
      </c>
      <c r="E91" t="s">
        <v>77</v>
      </c>
      <c r="F91">
        <v>2</v>
      </c>
      <c r="G91">
        <v>1150.8800000000001</v>
      </c>
      <c r="H91">
        <v>902.24</v>
      </c>
      <c r="I91">
        <v>0</v>
      </c>
      <c r="J91">
        <v>0</v>
      </c>
      <c r="M91" t="b">
        <f t="shared" si="10"/>
        <v>0</v>
      </c>
      <c r="N91" t="b">
        <f t="shared" ca="1" si="11"/>
        <v>0</v>
      </c>
      <c r="O91" t="b">
        <f t="shared" si="12"/>
        <v>1</v>
      </c>
      <c r="P91" t="b">
        <f t="shared" ca="1" si="13"/>
        <v>1</v>
      </c>
      <c r="Q91" t="b">
        <f>TRUE()</f>
        <v>1</v>
      </c>
      <c r="R91" t="b">
        <f t="shared" si="14"/>
        <v>1</v>
      </c>
      <c r="S91" t="b">
        <f t="shared" si="15"/>
        <v>1</v>
      </c>
      <c r="T91" t="b">
        <f t="shared" si="16"/>
        <v>1</v>
      </c>
      <c r="U91" t="b">
        <f t="shared" si="17"/>
        <v>1</v>
      </c>
      <c r="V91" t="b">
        <f t="shared" si="18"/>
        <v>1</v>
      </c>
      <c r="X91" t="b">
        <f t="shared" ca="1" si="19"/>
        <v>1</v>
      </c>
    </row>
    <row r="92" spans="2:24" ht="15" x14ac:dyDescent="0.25">
      <c r="B92" t="s">
        <v>276</v>
      </c>
      <c r="C92" t="s">
        <v>277</v>
      </c>
      <c r="D92" t="s">
        <v>278</v>
      </c>
      <c r="E92" t="s">
        <v>77</v>
      </c>
      <c r="F92">
        <v>4</v>
      </c>
      <c r="G92">
        <v>2116.8200000000002</v>
      </c>
      <c r="H92">
        <v>521.82000000000005</v>
      </c>
      <c r="I92">
        <v>0</v>
      </c>
      <c r="J92">
        <v>0</v>
      </c>
      <c r="M92" t="b">
        <f t="shared" si="10"/>
        <v>0</v>
      </c>
      <c r="N92" t="b">
        <f t="shared" ca="1" si="11"/>
        <v>0</v>
      </c>
      <c r="O92" t="b">
        <f t="shared" si="12"/>
        <v>1</v>
      </c>
      <c r="P92" t="b">
        <f t="shared" ca="1" si="13"/>
        <v>1</v>
      </c>
      <c r="Q92" t="b">
        <f>TRUE()</f>
        <v>1</v>
      </c>
      <c r="R92" t="b">
        <f t="shared" si="14"/>
        <v>1</v>
      </c>
      <c r="S92" t="b">
        <f t="shared" si="15"/>
        <v>1</v>
      </c>
      <c r="T92" t="b">
        <f t="shared" si="16"/>
        <v>1</v>
      </c>
      <c r="U92" t="b">
        <f t="shared" si="17"/>
        <v>1</v>
      </c>
      <c r="V92" t="b">
        <f t="shared" si="18"/>
        <v>1</v>
      </c>
      <c r="X92" t="b">
        <f t="shared" ca="1" si="19"/>
        <v>1</v>
      </c>
    </row>
    <row r="93" spans="2:24" ht="15" x14ac:dyDescent="0.25">
      <c r="B93" t="s">
        <v>279</v>
      </c>
      <c r="C93" t="s">
        <v>280</v>
      </c>
      <c r="D93" t="s">
        <v>281</v>
      </c>
      <c r="E93" t="s">
        <v>77</v>
      </c>
      <c r="F93">
        <v>4</v>
      </c>
      <c r="G93">
        <v>2329.8000000000002</v>
      </c>
      <c r="H93">
        <v>1479.8</v>
      </c>
      <c r="I93">
        <v>0</v>
      </c>
      <c r="J93">
        <v>99.02</v>
      </c>
      <c r="M93" t="b">
        <f t="shared" si="10"/>
        <v>0</v>
      </c>
      <c r="N93" t="b">
        <f t="shared" ca="1" si="11"/>
        <v>0</v>
      </c>
      <c r="O93" t="b">
        <f t="shared" si="12"/>
        <v>1</v>
      </c>
      <c r="P93" t="b">
        <f t="shared" ca="1" si="13"/>
        <v>1</v>
      </c>
      <c r="Q93" t="b">
        <f>TRUE()</f>
        <v>1</v>
      </c>
      <c r="R93" t="b">
        <f t="shared" si="14"/>
        <v>1</v>
      </c>
      <c r="S93" t="b">
        <f t="shared" si="15"/>
        <v>1</v>
      </c>
      <c r="T93" t="b">
        <f t="shared" si="16"/>
        <v>1</v>
      </c>
      <c r="U93" t="b">
        <f t="shared" si="17"/>
        <v>1</v>
      </c>
      <c r="V93" t="b">
        <f t="shared" si="18"/>
        <v>1</v>
      </c>
      <c r="X93" t="b">
        <f t="shared" ca="1" si="19"/>
        <v>1</v>
      </c>
    </row>
    <row r="94" spans="2:24" ht="15" x14ac:dyDescent="0.25">
      <c r="B94" t="s">
        <v>282</v>
      </c>
      <c r="C94" t="s">
        <v>283</v>
      </c>
      <c r="D94" t="s">
        <v>284</v>
      </c>
      <c r="E94" t="s">
        <v>77</v>
      </c>
      <c r="F94">
        <v>4</v>
      </c>
      <c r="G94">
        <v>2843.76</v>
      </c>
      <c r="H94">
        <v>695.76</v>
      </c>
      <c r="I94">
        <v>0</v>
      </c>
      <c r="J94">
        <v>326.32</v>
      </c>
      <c r="M94" t="b">
        <f t="shared" si="10"/>
        <v>0</v>
      </c>
      <c r="N94" t="b">
        <f t="shared" ca="1" si="11"/>
        <v>0</v>
      </c>
      <c r="O94" t="b">
        <f t="shared" si="12"/>
        <v>1</v>
      </c>
      <c r="P94" t="b">
        <f t="shared" ca="1" si="13"/>
        <v>1</v>
      </c>
      <c r="Q94" t="b">
        <f>TRUE()</f>
        <v>1</v>
      </c>
      <c r="R94" t="b">
        <f t="shared" si="14"/>
        <v>1</v>
      </c>
      <c r="S94" t="b">
        <f t="shared" si="15"/>
        <v>1</v>
      </c>
      <c r="T94" t="b">
        <f t="shared" si="16"/>
        <v>1</v>
      </c>
      <c r="U94" t="b">
        <f t="shared" si="17"/>
        <v>1</v>
      </c>
      <c r="V94" t="b">
        <f t="shared" si="18"/>
        <v>1</v>
      </c>
      <c r="X94" t="b">
        <f t="shared" ca="1" si="19"/>
        <v>1</v>
      </c>
    </row>
    <row r="95" spans="2:24" ht="15" x14ac:dyDescent="0.25">
      <c r="B95" t="s">
        <v>285</v>
      </c>
      <c r="C95" t="s">
        <v>286</v>
      </c>
      <c r="D95" t="s">
        <v>287</v>
      </c>
      <c r="E95" t="s">
        <v>77</v>
      </c>
      <c r="F95">
        <v>4</v>
      </c>
      <c r="G95">
        <v>1661.92</v>
      </c>
      <c r="H95">
        <v>1661.92</v>
      </c>
      <c r="I95">
        <v>0</v>
      </c>
      <c r="J95">
        <v>0</v>
      </c>
      <c r="M95" t="b">
        <f t="shared" si="10"/>
        <v>0</v>
      </c>
      <c r="N95" t="b">
        <f t="shared" ca="1" si="11"/>
        <v>0</v>
      </c>
      <c r="O95" t="b">
        <f t="shared" si="12"/>
        <v>1</v>
      </c>
      <c r="P95" t="b">
        <f t="shared" ca="1" si="13"/>
        <v>1</v>
      </c>
      <c r="Q95" t="b">
        <f>TRUE()</f>
        <v>1</v>
      </c>
      <c r="R95" t="b">
        <f t="shared" si="14"/>
        <v>1</v>
      </c>
      <c r="S95" t="b">
        <f t="shared" si="15"/>
        <v>1</v>
      </c>
      <c r="T95" t="b">
        <f t="shared" si="16"/>
        <v>1</v>
      </c>
      <c r="U95" t="b">
        <f t="shared" si="17"/>
        <v>1</v>
      </c>
      <c r="V95" t="b">
        <f t="shared" si="18"/>
        <v>1</v>
      </c>
      <c r="X95" t="b">
        <f t="shared" ca="1" si="19"/>
        <v>1</v>
      </c>
    </row>
    <row r="96" spans="2:24" ht="15" x14ac:dyDescent="0.25">
      <c r="B96" t="s">
        <v>288</v>
      </c>
      <c r="C96" t="s">
        <v>289</v>
      </c>
      <c r="D96" t="s">
        <v>290</v>
      </c>
      <c r="E96" t="s">
        <v>77</v>
      </c>
      <c r="F96">
        <v>4</v>
      </c>
      <c r="G96">
        <v>1342.91</v>
      </c>
      <c r="H96">
        <v>326.66000000000003</v>
      </c>
      <c r="I96">
        <v>0</v>
      </c>
      <c r="J96">
        <v>0</v>
      </c>
      <c r="M96" t="b">
        <f t="shared" si="10"/>
        <v>0</v>
      </c>
      <c r="N96" t="b">
        <f t="shared" ca="1" si="11"/>
        <v>0</v>
      </c>
      <c r="O96" t="b">
        <f t="shared" si="12"/>
        <v>1</v>
      </c>
      <c r="P96" t="b">
        <f t="shared" ca="1" si="13"/>
        <v>1</v>
      </c>
      <c r="Q96" t="b">
        <f>TRUE()</f>
        <v>1</v>
      </c>
      <c r="R96" t="b">
        <f t="shared" si="14"/>
        <v>1</v>
      </c>
      <c r="S96" t="b">
        <f t="shared" si="15"/>
        <v>1</v>
      </c>
      <c r="T96" t="b">
        <f t="shared" si="16"/>
        <v>1</v>
      </c>
      <c r="U96" t="b">
        <f t="shared" si="17"/>
        <v>1</v>
      </c>
      <c r="V96" t="b">
        <f t="shared" si="18"/>
        <v>1</v>
      </c>
      <c r="X96" t="b">
        <f t="shared" ca="1" si="19"/>
        <v>1</v>
      </c>
    </row>
    <row r="97" spans="2:24" ht="15" x14ac:dyDescent="0.25">
      <c r="B97" t="s">
        <v>291</v>
      </c>
      <c r="C97" t="s">
        <v>292</v>
      </c>
      <c r="D97" t="s">
        <v>293</v>
      </c>
      <c r="E97" t="s">
        <v>77</v>
      </c>
      <c r="F97">
        <v>4</v>
      </c>
      <c r="G97">
        <v>2279.88</v>
      </c>
      <c r="H97">
        <v>463.84</v>
      </c>
      <c r="I97">
        <v>0</v>
      </c>
      <c r="J97">
        <v>72.53</v>
      </c>
      <c r="M97" t="b">
        <f t="shared" si="10"/>
        <v>0</v>
      </c>
      <c r="N97" t="b">
        <f t="shared" ca="1" si="11"/>
        <v>0</v>
      </c>
      <c r="O97" t="b">
        <f t="shared" si="12"/>
        <v>1</v>
      </c>
      <c r="P97" t="b">
        <f t="shared" ca="1" si="13"/>
        <v>1</v>
      </c>
      <c r="Q97" t="b">
        <f>TRUE()</f>
        <v>1</v>
      </c>
      <c r="R97" t="b">
        <f t="shared" si="14"/>
        <v>1</v>
      </c>
      <c r="S97" t="b">
        <f t="shared" si="15"/>
        <v>1</v>
      </c>
      <c r="T97" t="b">
        <f t="shared" si="16"/>
        <v>1</v>
      </c>
      <c r="U97" t="b">
        <f t="shared" si="17"/>
        <v>1</v>
      </c>
      <c r="V97" t="b">
        <f t="shared" si="18"/>
        <v>1</v>
      </c>
      <c r="X97" t="b">
        <f t="shared" ca="1" si="19"/>
        <v>1</v>
      </c>
    </row>
    <row r="98" spans="2:24" ht="15" x14ac:dyDescent="0.25">
      <c r="B98" t="s">
        <v>294</v>
      </c>
      <c r="C98" t="s">
        <v>295</v>
      </c>
      <c r="D98" t="s">
        <v>296</v>
      </c>
      <c r="E98" t="s">
        <v>77</v>
      </c>
      <c r="F98">
        <v>4</v>
      </c>
      <c r="G98">
        <v>477.09</v>
      </c>
      <c r="H98">
        <v>115.96</v>
      </c>
      <c r="I98">
        <v>0</v>
      </c>
      <c r="J98">
        <v>0</v>
      </c>
      <c r="M98" t="b">
        <f t="shared" si="10"/>
        <v>0</v>
      </c>
      <c r="N98" t="b">
        <f t="shared" ca="1" si="11"/>
        <v>0</v>
      </c>
      <c r="O98" t="b">
        <f t="shared" si="12"/>
        <v>1</v>
      </c>
      <c r="P98" t="b">
        <f t="shared" ca="1" si="13"/>
        <v>1</v>
      </c>
      <c r="Q98" t="b">
        <f>TRUE()</f>
        <v>1</v>
      </c>
      <c r="R98" t="b">
        <f t="shared" si="14"/>
        <v>1</v>
      </c>
      <c r="S98" t="b">
        <f t="shared" si="15"/>
        <v>1</v>
      </c>
      <c r="T98" t="b">
        <f t="shared" si="16"/>
        <v>1</v>
      </c>
      <c r="U98" t="b">
        <f t="shared" si="17"/>
        <v>1</v>
      </c>
      <c r="V98" t="b">
        <f t="shared" si="18"/>
        <v>1</v>
      </c>
      <c r="X98" t="b">
        <f t="shared" ca="1" si="19"/>
        <v>1</v>
      </c>
    </row>
    <row r="99" spans="2:24" ht="15" x14ac:dyDescent="0.25">
      <c r="B99" t="s">
        <v>297</v>
      </c>
      <c r="C99" t="s">
        <v>298</v>
      </c>
      <c r="D99" t="s">
        <v>299</v>
      </c>
      <c r="E99" t="s">
        <v>77</v>
      </c>
      <c r="F99">
        <v>4</v>
      </c>
      <c r="G99">
        <v>1494.04</v>
      </c>
      <c r="H99">
        <v>393.85</v>
      </c>
      <c r="I99">
        <v>0</v>
      </c>
      <c r="J99">
        <v>0</v>
      </c>
      <c r="M99" t="b">
        <f t="shared" si="10"/>
        <v>0</v>
      </c>
      <c r="N99" t="b">
        <f t="shared" ca="1" si="11"/>
        <v>0</v>
      </c>
      <c r="O99" t="b">
        <f t="shared" si="12"/>
        <v>1</v>
      </c>
      <c r="P99" t="b">
        <f t="shared" ca="1" si="13"/>
        <v>1</v>
      </c>
      <c r="Q99" t="b">
        <f>TRUE()</f>
        <v>1</v>
      </c>
      <c r="R99" t="b">
        <f t="shared" si="14"/>
        <v>1</v>
      </c>
      <c r="S99" t="b">
        <f t="shared" si="15"/>
        <v>1</v>
      </c>
      <c r="T99" t="b">
        <f t="shared" si="16"/>
        <v>1</v>
      </c>
      <c r="U99" t="b">
        <f t="shared" si="17"/>
        <v>1</v>
      </c>
      <c r="V99" t="b">
        <f t="shared" si="18"/>
        <v>1</v>
      </c>
      <c r="X99" t="b">
        <f t="shared" ca="1" si="19"/>
        <v>1</v>
      </c>
    </row>
    <row r="100" spans="2:24" ht="15" x14ac:dyDescent="0.25">
      <c r="B100" t="s">
        <v>300</v>
      </c>
      <c r="C100" t="s">
        <v>301</v>
      </c>
      <c r="D100" t="s">
        <v>302</v>
      </c>
      <c r="E100" t="s">
        <v>77</v>
      </c>
      <c r="F100">
        <v>4</v>
      </c>
      <c r="G100">
        <v>1201.1600000000001</v>
      </c>
      <c r="H100">
        <v>544.16</v>
      </c>
      <c r="I100">
        <v>0</v>
      </c>
      <c r="J100">
        <v>0</v>
      </c>
      <c r="M100" t="b">
        <f t="shared" si="10"/>
        <v>0</v>
      </c>
      <c r="N100" t="b">
        <f t="shared" ca="1" si="11"/>
        <v>0</v>
      </c>
      <c r="O100" t="b">
        <f t="shared" si="12"/>
        <v>1</v>
      </c>
      <c r="P100" t="b">
        <f t="shared" ca="1" si="13"/>
        <v>1</v>
      </c>
      <c r="Q100" t="b">
        <f>TRUE()</f>
        <v>1</v>
      </c>
      <c r="R100" t="b">
        <f t="shared" si="14"/>
        <v>1</v>
      </c>
      <c r="S100" t="b">
        <f t="shared" si="15"/>
        <v>1</v>
      </c>
      <c r="T100" t="b">
        <f t="shared" si="16"/>
        <v>1</v>
      </c>
      <c r="U100" t="b">
        <f t="shared" si="17"/>
        <v>1</v>
      </c>
      <c r="V100" t="b">
        <f t="shared" si="18"/>
        <v>1</v>
      </c>
      <c r="X100" t="b">
        <f t="shared" ca="1" si="19"/>
        <v>1</v>
      </c>
    </row>
    <row r="101" spans="2:24" ht="15" x14ac:dyDescent="0.25">
      <c r="B101" t="s">
        <v>303</v>
      </c>
      <c r="C101" t="s">
        <v>304</v>
      </c>
      <c r="D101" t="s">
        <v>305</v>
      </c>
      <c r="E101" t="s">
        <v>77</v>
      </c>
      <c r="F101">
        <v>4</v>
      </c>
      <c r="G101">
        <v>1221.92</v>
      </c>
      <c r="H101">
        <v>1221.92</v>
      </c>
      <c r="I101">
        <v>0</v>
      </c>
      <c r="J101">
        <v>0</v>
      </c>
      <c r="M101" t="b">
        <f t="shared" si="10"/>
        <v>0</v>
      </c>
      <c r="N101" t="b">
        <f t="shared" ca="1" si="11"/>
        <v>0</v>
      </c>
      <c r="O101" t="b">
        <f t="shared" si="12"/>
        <v>1</v>
      </c>
      <c r="P101" t="b">
        <f t="shared" ca="1" si="13"/>
        <v>1</v>
      </c>
      <c r="Q101" t="b">
        <f>TRUE()</f>
        <v>1</v>
      </c>
      <c r="R101" t="b">
        <f t="shared" si="14"/>
        <v>1</v>
      </c>
      <c r="S101" t="b">
        <f t="shared" si="15"/>
        <v>1</v>
      </c>
      <c r="T101" t="b">
        <f t="shared" si="16"/>
        <v>1</v>
      </c>
      <c r="U101" t="b">
        <f t="shared" si="17"/>
        <v>1</v>
      </c>
      <c r="V101" t="b">
        <f t="shared" si="18"/>
        <v>1</v>
      </c>
      <c r="X101" t="b">
        <f t="shared" ca="1" si="19"/>
        <v>1</v>
      </c>
    </row>
    <row r="102" spans="2:24" ht="15" x14ac:dyDescent="0.25">
      <c r="B102" t="s">
        <v>306</v>
      </c>
      <c r="C102" t="s">
        <v>307</v>
      </c>
      <c r="D102" t="s">
        <v>308</v>
      </c>
      <c r="E102" t="s">
        <v>77</v>
      </c>
      <c r="F102">
        <v>4</v>
      </c>
      <c r="G102">
        <v>1837.4</v>
      </c>
      <c r="H102">
        <v>305.39999999999998</v>
      </c>
      <c r="I102">
        <v>0</v>
      </c>
      <c r="J102">
        <v>0</v>
      </c>
      <c r="M102" t="b">
        <f t="shared" si="10"/>
        <v>0</v>
      </c>
      <c r="N102" t="b">
        <f t="shared" ca="1" si="11"/>
        <v>0</v>
      </c>
      <c r="O102" t="b">
        <f t="shared" si="12"/>
        <v>1</v>
      </c>
      <c r="P102" t="b">
        <f t="shared" ca="1" si="13"/>
        <v>1</v>
      </c>
      <c r="Q102" t="b">
        <f>TRUE()</f>
        <v>1</v>
      </c>
      <c r="R102" t="b">
        <f t="shared" si="14"/>
        <v>1</v>
      </c>
      <c r="S102" t="b">
        <f t="shared" si="15"/>
        <v>1</v>
      </c>
      <c r="T102" t="b">
        <f t="shared" si="16"/>
        <v>1</v>
      </c>
      <c r="U102" t="b">
        <f t="shared" si="17"/>
        <v>1</v>
      </c>
      <c r="V102" t="b">
        <f t="shared" si="18"/>
        <v>1</v>
      </c>
      <c r="X102" t="b">
        <f t="shared" ca="1" si="19"/>
        <v>1</v>
      </c>
    </row>
    <row r="103" spans="2:24" ht="15" x14ac:dyDescent="0.25">
      <c r="B103" t="s">
        <v>309</v>
      </c>
      <c r="C103" t="s">
        <v>310</v>
      </c>
      <c r="D103" t="s">
        <v>311</v>
      </c>
      <c r="E103" t="s">
        <v>77</v>
      </c>
      <c r="F103">
        <v>4</v>
      </c>
      <c r="G103">
        <v>2998.03</v>
      </c>
      <c r="H103">
        <v>1675.03</v>
      </c>
      <c r="I103">
        <v>0</v>
      </c>
      <c r="J103">
        <v>364.89</v>
      </c>
      <c r="M103" t="b">
        <f t="shared" si="10"/>
        <v>0</v>
      </c>
      <c r="N103" t="b">
        <f t="shared" ca="1" si="11"/>
        <v>0</v>
      </c>
      <c r="O103" t="b">
        <f t="shared" si="12"/>
        <v>1</v>
      </c>
      <c r="P103" t="b">
        <f t="shared" ca="1" si="13"/>
        <v>1</v>
      </c>
      <c r="Q103" t="b">
        <f>TRUE()</f>
        <v>1</v>
      </c>
      <c r="R103" t="b">
        <f t="shared" si="14"/>
        <v>1</v>
      </c>
      <c r="S103" t="b">
        <f t="shared" si="15"/>
        <v>1</v>
      </c>
      <c r="T103" t="b">
        <f t="shared" si="16"/>
        <v>1</v>
      </c>
      <c r="U103" t="b">
        <f t="shared" si="17"/>
        <v>1</v>
      </c>
      <c r="V103" t="b">
        <f t="shared" si="18"/>
        <v>1</v>
      </c>
      <c r="X103" t="b">
        <f t="shared" ca="1" si="19"/>
        <v>1</v>
      </c>
    </row>
    <row r="104" spans="2:24" ht="15" x14ac:dyDescent="0.25">
      <c r="B104" t="s">
        <v>312</v>
      </c>
      <c r="C104" t="s">
        <v>313</v>
      </c>
      <c r="D104" t="s">
        <v>314</v>
      </c>
      <c r="E104" t="s">
        <v>77</v>
      </c>
      <c r="F104">
        <v>4</v>
      </c>
      <c r="G104">
        <v>1086.49</v>
      </c>
      <c r="H104">
        <v>777.11</v>
      </c>
      <c r="I104">
        <v>0</v>
      </c>
      <c r="J104">
        <v>0</v>
      </c>
      <c r="M104" t="b">
        <f t="shared" si="10"/>
        <v>0</v>
      </c>
      <c r="N104" t="b">
        <f t="shared" ca="1" si="11"/>
        <v>0</v>
      </c>
      <c r="O104" t="b">
        <f t="shared" si="12"/>
        <v>1</v>
      </c>
      <c r="P104" t="b">
        <f t="shared" ca="1" si="13"/>
        <v>1</v>
      </c>
      <c r="Q104" t="b">
        <f>TRUE()</f>
        <v>1</v>
      </c>
      <c r="R104" t="b">
        <f t="shared" si="14"/>
        <v>1</v>
      </c>
      <c r="S104" t="b">
        <f t="shared" si="15"/>
        <v>1</v>
      </c>
      <c r="T104" t="b">
        <f t="shared" si="16"/>
        <v>1</v>
      </c>
      <c r="U104" t="b">
        <f t="shared" si="17"/>
        <v>1</v>
      </c>
      <c r="V104" t="b">
        <f t="shared" si="18"/>
        <v>1</v>
      </c>
      <c r="X104" t="b">
        <f t="shared" ca="1" si="19"/>
        <v>1</v>
      </c>
    </row>
    <row r="105" spans="2:24" ht="15" x14ac:dyDescent="0.25">
      <c r="B105" t="s">
        <v>315</v>
      </c>
      <c r="C105" t="s">
        <v>316</v>
      </c>
      <c r="D105" t="s">
        <v>317</v>
      </c>
      <c r="E105" t="s">
        <v>77</v>
      </c>
      <c r="F105">
        <v>4</v>
      </c>
      <c r="G105">
        <v>4769.7</v>
      </c>
      <c r="H105">
        <v>869.7</v>
      </c>
      <c r="I105">
        <v>0</v>
      </c>
      <c r="J105">
        <v>807.8</v>
      </c>
      <c r="M105" t="b">
        <f t="shared" si="10"/>
        <v>0</v>
      </c>
      <c r="N105" t="b">
        <f t="shared" ca="1" si="11"/>
        <v>0</v>
      </c>
      <c r="O105" t="b">
        <f t="shared" si="12"/>
        <v>1</v>
      </c>
      <c r="P105" t="b">
        <f t="shared" ca="1" si="13"/>
        <v>1</v>
      </c>
      <c r="Q105" t="b">
        <f>TRUE()</f>
        <v>1</v>
      </c>
      <c r="R105" t="b">
        <f t="shared" si="14"/>
        <v>1</v>
      </c>
      <c r="S105" t="b">
        <f t="shared" si="15"/>
        <v>1</v>
      </c>
      <c r="T105" t="b">
        <f t="shared" si="16"/>
        <v>1</v>
      </c>
      <c r="U105" t="b">
        <f t="shared" si="17"/>
        <v>1</v>
      </c>
      <c r="V105" t="b">
        <f t="shared" si="18"/>
        <v>1</v>
      </c>
      <c r="X105" t="b">
        <f t="shared" ca="1" si="19"/>
        <v>1</v>
      </c>
    </row>
    <row r="106" spans="2:24" ht="15" x14ac:dyDescent="0.25">
      <c r="B106" t="s">
        <v>318</v>
      </c>
      <c r="C106" t="s">
        <v>319</v>
      </c>
      <c r="D106" t="s">
        <v>320</v>
      </c>
      <c r="E106" t="s">
        <v>77</v>
      </c>
      <c r="F106">
        <v>4</v>
      </c>
      <c r="G106">
        <v>1530.43</v>
      </c>
      <c r="H106">
        <v>278.49</v>
      </c>
      <c r="I106">
        <v>0</v>
      </c>
      <c r="J106">
        <v>0</v>
      </c>
      <c r="M106" t="b">
        <f t="shared" si="10"/>
        <v>0</v>
      </c>
      <c r="N106" t="b">
        <f t="shared" ca="1" si="11"/>
        <v>0</v>
      </c>
      <c r="O106" t="b">
        <f t="shared" si="12"/>
        <v>1</v>
      </c>
      <c r="P106" t="b">
        <f t="shared" ca="1" si="13"/>
        <v>1</v>
      </c>
      <c r="Q106" t="b">
        <f>TRUE()</f>
        <v>1</v>
      </c>
      <c r="R106" t="b">
        <f t="shared" si="14"/>
        <v>1</v>
      </c>
      <c r="S106" t="b">
        <f t="shared" si="15"/>
        <v>1</v>
      </c>
      <c r="T106" t="b">
        <f t="shared" si="16"/>
        <v>1</v>
      </c>
      <c r="U106" t="b">
        <f t="shared" si="17"/>
        <v>1</v>
      </c>
      <c r="V106" t="b">
        <f t="shared" si="18"/>
        <v>1</v>
      </c>
      <c r="X106" t="b">
        <f t="shared" ca="1" si="19"/>
        <v>1</v>
      </c>
    </row>
    <row r="107" spans="2:24" ht="15" x14ac:dyDescent="0.25">
      <c r="B107" t="s">
        <v>321</v>
      </c>
      <c r="C107" t="s">
        <v>322</v>
      </c>
      <c r="D107" t="s">
        <v>323</v>
      </c>
      <c r="E107" t="s">
        <v>77</v>
      </c>
      <c r="F107">
        <v>4</v>
      </c>
      <c r="G107">
        <v>891.92</v>
      </c>
      <c r="H107">
        <v>891.92</v>
      </c>
      <c r="I107">
        <v>0</v>
      </c>
      <c r="J107">
        <v>0</v>
      </c>
      <c r="M107" t="b">
        <f t="shared" si="10"/>
        <v>0</v>
      </c>
      <c r="N107" t="b">
        <f t="shared" ca="1" si="11"/>
        <v>0</v>
      </c>
      <c r="O107" t="b">
        <f t="shared" si="12"/>
        <v>1</v>
      </c>
      <c r="P107" t="b">
        <f t="shared" ca="1" si="13"/>
        <v>1</v>
      </c>
      <c r="Q107" t="b">
        <f>TRUE()</f>
        <v>1</v>
      </c>
      <c r="R107" t="b">
        <f t="shared" si="14"/>
        <v>1</v>
      </c>
      <c r="S107" t="b">
        <f t="shared" si="15"/>
        <v>1</v>
      </c>
      <c r="T107" t="b">
        <f t="shared" si="16"/>
        <v>1</v>
      </c>
      <c r="U107" t="b">
        <f t="shared" si="17"/>
        <v>1</v>
      </c>
      <c r="V107" t="b">
        <f t="shared" si="18"/>
        <v>1</v>
      </c>
      <c r="X107" t="b">
        <f t="shared" ca="1" si="19"/>
        <v>1</v>
      </c>
    </row>
    <row r="108" spans="2:24" ht="15" x14ac:dyDescent="0.25">
      <c r="B108" t="s">
        <v>324</v>
      </c>
      <c r="C108" t="s">
        <v>325</v>
      </c>
      <c r="D108" t="s">
        <v>326</v>
      </c>
      <c r="E108" t="s">
        <v>77</v>
      </c>
      <c r="F108">
        <v>4</v>
      </c>
      <c r="G108">
        <v>1134.1300000000001</v>
      </c>
      <c r="H108">
        <v>443.5</v>
      </c>
      <c r="I108">
        <v>0</v>
      </c>
      <c r="J108">
        <v>0</v>
      </c>
      <c r="M108" t="b">
        <f t="shared" si="10"/>
        <v>0</v>
      </c>
      <c r="N108" t="b">
        <f t="shared" ca="1" si="11"/>
        <v>0</v>
      </c>
      <c r="O108" t="b">
        <f t="shared" si="12"/>
        <v>1</v>
      </c>
      <c r="P108" t="b">
        <f t="shared" ca="1" si="13"/>
        <v>1</v>
      </c>
      <c r="Q108" t="b">
        <f>TRUE()</f>
        <v>1</v>
      </c>
      <c r="R108" t="b">
        <f t="shared" si="14"/>
        <v>1</v>
      </c>
      <c r="S108" t="b">
        <f t="shared" si="15"/>
        <v>1</v>
      </c>
      <c r="T108" t="b">
        <f t="shared" si="16"/>
        <v>1</v>
      </c>
      <c r="U108" t="b">
        <f t="shared" si="17"/>
        <v>1</v>
      </c>
      <c r="V108" t="b">
        <f t="shared" si="18"/>
        <v>1</v>
      </c>
      <c r="X108" t="b">
        <f t="shared" ca="1" si="19"/>
        <v>1</v>
      </c>
    </row>
    <row r="109" spans="2:24" ht="15" x14ac:dyDescent="0.25">
      <c r="B109" t="s">
        <v>327</v>
      </c>
      <c r="C109" t="s">
        <v>328</v>
      </c>
      <c r="D109" t="s">
        <v>329</v>
      </c>
      <c r="E109" t="s">
        <v>77</v>
      </c>
      <c r="F109">
        <v>4</v>
      </c>
      <c r="G109">
        <v>1361.74</v>
      </c>
      <c r="H109">
        <v>120.17</v>
      </c>
      <c r="I109">
        <v>0</v>
      </c>
      <c r="J109">
        <v>0</v>
      </c>
      <c r="M109" t="b">
        <f t="shared" si="10"/>
        <v>0</v>
      </c>
      <c r="N109" t="b">
        <f t="shared" ca="1" si="11"/>
        <v>0</v>
      </c>
      <c r="O109" t="b">
        <f t="shared" si="12"/>
        <v>1</v>
      </c>
      <c r="P109" t="b">
        <f t="shared" ca="1" si="13"/>
        <v>1</v>
      </c>
      <c r="Q109" t="b">
        <f>TRUE()</f>
        <v>1</v>
      </c>
      <c r="R109" t="b">
        <f t="shared" si="14"/>
        <v>1</v>
      </c>
      <c r="S109" t="b">
        <f t="shared" si="15"/>
        <v>1</v>
      </c>
      <c r="T109" t="b">
        <f t="shared" si="16"/>
        <v>1</v>
      </c>
      <c r="U109" t="b">
        <f t="shared" si="17"/>
        <v>1</v>
      </c>
      <c r="V109" t="b">
        <f t="shared" si="18"/>
        <v>1</v>
      </c>
      <c r="X109" t="b">
        <f t="shared" ca="1" si="19"/>
        <v>1</v>
      </c>
    </row>
    <row r="110" spans="2:24" ht="15" x14ac:dyDescent="0.25">
      <c r="B110" t="s">
        <v>330</v>
      </c>
      <c r="C110" t="s">
        <v>331</v>
      </c>
      <c r="D110" t="s">
        <v>332</v>
      </c>
      <c r="E110" t="s">
        <v>77</v>
      </c>
      <c r="F110">
        <v>4</v>
      </c>
      <c r="G110">
        <v>990.08</v>
      </c>
      <c r="H110">
        <v>69.58</v>
      </c>
      <c r="I110">
        <v>0</v>
      </c>
      <c r="J110">
        <v>0</v>
      </c>
      <c r="M110" t="b">
        <f t="shared" si="10"/>
        <v>0</v>
      </c>
      <c r="N110" t="b">
        <f t="shared" ca="1" si="11"/>
        <v>0</v>
      </c>
      <c r="O110" t="b">
        <f t="shared" si="12"/>
        <v>1</v>
      </c>
      <c r="P110" t="b">
        <f t="shared" ca="1" si="13"/>
        <v>1</v>
      </c>
      <c r="Q110" t="b">
        <f>TRUE()</f>
        <v>1</v>
      </c>
      <c r="R110" t="b">
        <f t="shared" si="14"/>
        <v>1</v>
      </c>
      <c r="S110" t="b">
        <f t="shared" si="15"/>
        <v>1</v>
      </c>
      <c r="T110" t="b">
        <f t="shared" si="16"/>
        <v>1</v>
      </c>
      <c r="U110" t="b">
        <f t="shared" si="17"/>
        <v>1</v>
      </c>
      <c r="V110" t="b">
        <f t="shared" si="18"/>
        <v>1</v>
      </c>
      <c r="X110" t="b">
        <f t="shared" ca="1" si="19"/>
        <v>1</v>
      </c>
    </row>
    <row r="111" spans="2:24" ht="15" x14ac:dyDescent="0.25">
      <c r="B111" t="s">
        <v>333</v>
      </c>
      <c r="C111" t="s">
        <v>334</v>
      </c>
      <c r="D111" t="s">
        <v>335</v>
      </c>
      <c r="E111" t="s">
        <v>77</v>
      </c>
      <c r="F111">
        <v>4</v>
      </c>
      <c r="G111">
        <v>1777.98</v>
      </c>
      <c r="H111">
        <v>647.48</v>
      </c>
      <c r="I111">
        <v>0</v>
      </c>
      <c r="J111">
        <v>0</v>
      </c>
      <c r="M111" t="b">
        <f t="shared" si="10"/>
        <v>0</v>
      </c>
      <c r="N111" t="b">
        <f t="shared" ca="1" si="11"/>
        <v>0</v>
      </c>
      <c r="O111" t="b">
        <f t="shared" si="12"/>
        <v>1</v>
      </c>
      <c r="P111" t="b">
        <f t="shared" ca="1" si="13"/>
        <v>1</v>
      </c>
      <c r="Q111" t="b">
        <f>TRUE()</f>
        <v>1</v>
      </c>
      <c r="R111" t="b">
        <f t="shared" si="14"/>
        <v>1</v>
      </c>
      <c r="S111" t="b">
        <f t="shared" si="15"/>
        <v>1</v>
      </c>
      <c r="T111" t="b">
        <f t="shared" si="16"/>
        <v>1</v>
      </c>
      <c r="U111" t="b">
        <f t="shared" si="17"/>
        <v>1</v>
      </c>
      <c r="V111" t="b">
        <f t="shared" si="18"/>
        <v>1</v>
      </c>
      <c r="X111" t="b">
        <f t="shared" ca="1" si="19"/>
        <v>1</v>
      </c>
    </row>
    <row r="112" spans="2:24" ht="15" x14ac:dyDescent="0.25">
      <c r="B112" t="s">
        <v>336</v>
      </c>
      <c r="C112" t="s">
        <v>337</v>
      </c>
      <c r="D112" t="s">
        <v>338</v>
      </c>
      <c r="E112" t="s">
        <v>77</v>
      </c>
      <c r="F112">
        <v>4</v>
      </c>
      <c r="G112">
        <v>534.91</v>
      </c>
      <c r="H112">
        <v>122.16</v>
      </c>
      <c r="I112">
        <v>0</v>
      </c>
      <c r="J112">
        <v>0</v>
      </c>
      <c r="M112" t="b">
        <f t="shared" si="10"/>
        <v>0</v>
      </c>
      <c r="N112" t="b">
        <f t="shared" ca="1" si="11"/>
        <v>0</v>
      </c>
      <c r="O112" t="b">
        <f t="shared" si="12"/>
        <v>1</v>
      </c>
      <c r="P112" t="b">
        <f t="shared" ca="1" si="13"/>
        <v>1</v>
      </c>
      <c r="Q112" t="b">
        <f>TRUE()</f>
        <v>1</v>
      </c>
      <c r="R112" t="b">
        <f t="shared" si="14"/>
        <v>1</v>
      </c>
      <c r="S112" t="b">
        <f t="shared" si="15"/>
        <v>1</v>
      </c>
      <c r="T112" t="b">
        <f t="shared" si="16"/>
        <v>1</v>
      </c>
      <c r="U112" t="b">
        <f t="shared" si="17"/>
        <v>1</v>
      </c>
      <c r="V112" t="b">
        <f t="shared" si="18"/>
        <v>1</v>
      </c>
      <c r="X112" t="b">
        <f t="shared" ca="1" si="19"/>
        <v>1</v>
      </c>
    </row>
    <row r="113" spans="2:24" ht="15" x14ac:dyDescent="0.25">
      <c r="B113" t="s">
        <v>339</v>
      </c>
      <c r="C113" t="s">
        <v>340</v>
      </c>
      <c r="D113" t="s">
        <v>341</v>
      </c>
      <c r="E113" t="s">
        <v>77</v>
      </c>
      <c r="F113">
        <v>4</v>
      </c>
      <c r="G113">
        <v>1678.44</v>
      </c>
      <c r="H113">
        <v>173.94</v>
      </c>
      <c r="I113">
        <v>0</v>
      </c>
      <c r="J113">
        <v>0</v>
      </c>
      <c r="M113" t="b">
        <f t="shared" si="10"/>
        <v>0</v>
      </c>
      <c r="N113" t="b">
        <f t="shared" ca="1" si="11"/>
        <v>0</v>
      </c>
      <c r="O113" t="b">
        <f t="shared" si="12"/>
        <v>1</v>
      </c>
      <c r="P113" t="b">
        <f t="shared" ca="1" si="13"/>
        <v>1</v>
      </c>
      <c r="Q113" t="b">
        <f>TRUE()</f>
        <v>1</v>
      </c>
      <c r="R113" t="b">
        <f t="shared" si="14"/>
        <v>1</v>
      </c>
      <c r="S113" t="b">
        <f t="shared" si="15"/>
        <v>1</v>
      </c>
      <c r="T113" t="b">
        <f t="shared" si="16"/>
        <v>1</v>
      </c>
      <c r="U113" t="b">
        <f t="shared" si="17"/>
        <v>1</v>
      </c>
      <c r="V113" t="b">
        <f t="shared" si="18"/>
        <v>1</v>
      </c>
      <c r="X113" t="b">
        <f t="shared" ca="1" si="19"/>
        <v>1</v>
      </c>
    </row>
    <row r="114" spans="2:24" ht="15" x14ac:dyDescent="0.25">
      <c r="B114" t="s">
        <v>342</v>
      </c>
      <c r="C114" t="s">
        <v>343</v>
      </c>
      <c r="D114" t="s">
        <v>344</v>
      </c>
      <c r="E114" t="s">
        <v>77</v>
      </c>
      <c r="F114">
        <v>4</v>
      </c>
      <c r="G114">
        <v>1684.18</v>
      </c>
      <c r="H114">
        <v>231.92</v>
      </c>
      <c r="I114">
        <v>0</v>
      </c>
      <c r="J114">
        <v>0</v>
      </c>
      <c r="M114" t="b">
        <f t="shared" si="10"/>
        <v>0</v>
      </c>
      <c r="N114" t="b">
        <f t="shared" ca="1" si="11"/>
        <v>0</v>
      </c>
      <c r="O114" t="b">
        <f t="shared" si="12"/>
        <v>1</v>
      </c>
      <c r="P114" t="b">
        <f t="shared" ca="1" si="13"/>
        <v>1</v>
      </c>
      <c r="Q114" t="b">
        <f>TRUE()</f>
        <v>1</v>
      </c>
      <c r="R114" t="b">
        <f t="shared" si="14"/>
        <v>1</v>
      </c>
      <c r="S114" t="b">
        <f t="shared" si="15"/>
        <v>1</v>
      </c>
      <c r="T114" t="b">
        <f t="shared" si="16"/>
        <v>1</v>
      </c>
      <c r="U114" t="b">
        <f t="shared" si="17"/>
        <v>1</v>
      </c>
      <c r="V114" t="b">
        <f t="shared" si="18"/>
        <v>1</v>
      </c>
      <c r="X114" t="b">
        <f t="shared" ca="1" si="19"/>
        <v>1</v>
      </c>
    </row>
    <row r="115" spans="2:24" ht="15" x14ac:dyDescent="0.25">
      <c r="B115" t="s">
        <v>345</v>
      </c>
      <c r="C115" t="s">
        <v>346</v>
      </c>
      <c r="D115" t="s">
        <v>347</v>
      </c>
      <c r="E115" t="s">
        <v>77</v>
      </c>
      <c r="F115">
        <v>4</v>
      </c>
      <c r="G115">
        <v>2858.7</v>
      </c>
      <c r="H115">
        <v>869.7</v>
      </c>
      <c r="I115">
        <v>0</v>
      </c>
      <c r="J115">
        <v>330.06</v>
      </c>
      <c r="M115" t="b">
        <f t="shared" si="10"/>
        <v>0</v>
      </c>
      <c r="N115" t="b">
        <f t="shared" ca="1" si="11"/>
        <v>0</v>
      </c>
      <c r="O115" t="b">
        <f t="shared" si="12"/>
        <v>1</v>
      </c>
      <c r="P115" t="b">
        <f t="shared" ca="1" si="13"/>
        <v>1</v>
      </c>
      <c r="Q115" t="b">
        <f>TRUE()</f>
        <v>1</v>
      </c>
      <c r="R115" t="b">
        <f t="shared" si="14"/>
        <v>1</v>
      </c>
      <c r="S115" t="b">
        <f t="shared" si="15"/>
        <v>1</v>
      </c>
      <c r="T115" t="b">
        <f t="shared" si="16"/>
        <v>1</v>
      </c>
      <c r="U115" t="b">
        <f t="shared" si="17"/>
        <v>1</v>
      </c>
      <c r="V115" t="b">
        <f t="shared" si="18"/>
        <v>1</v>
      </c>
      <c r="X115" t="b">
        <f t="shared" ca="1" si="19"/>
        <v>1</v>
      </c>
    </row>
    <row r="116" spans="2:24" ht="15" x14ac:dyDescent="0.25">
      <c r="B116" t="s">
        <v>348</v>
      </c>
      <c r="C116" t="s">
        <v>349</v>
      </c>
      <c r="D116" t="s">
        <v>350</v>
      </c>
      <c r="E116" t="s">
        <v>77</v>
      </c>
      <c r="F116">
        <v>4</v>
      </c>
      <c r="G116">
        <v>2920.15</v>
      </c>
      <c r="H116">
        <v>1727.65</v>
      </c>
      <c r="I116">
        <v>0</v>
      </c>
      <c r="J116">
        <v>345.42</v>
      </c>
      <c r="M116" t="b">
        <f t="shared" si="10"/>
        <v>0</v>
      </c>
      <c r="N116" t="b">
        <f t="shared" ca="1" si="11"/>
        <v>0</v>
      </c>
      <c r="O116" t="b">
        <f t="shared" si="12"/>
        <v>1</v>
      </c>
      <c r="P116" t="b">
        <f t="shared" ca="1" si="13"/>
        <v>1</v>
      </c>
      <c r="Q116" t="b">
        <f>TRUE()</f>
        <v>1</v>
      </c>
      <c r="R116" t="b">
        <f t="shared" si="14"/>
        <v>1</v>
      </c>
      <c r="S116" t="b">
        <f t="shared" si="15"/>
        <v>1</v>
      </c>
      <c r="T116" t="b">
        <f t="shared" si="16"/>
        <v>1</v>
      </c>
      <c r="U116" t="b">
        <f t="shared" si="17"/>
        <v>1</v>
      </c>
      <c r="V116" t="b">
        <f t="shared" si="18"/>
        <v>1</v>
      </c>
      <c r="X116" t="b">
        <f t="shared" ca="1" si="19"/>
        <v>1</v>
      </c>
    </row>
    <row r="117" spans="2:24" ht="15" x14ac:dyDescent="0.25">
      <c r="B117" t="s">
        <v>351</v>
      </c>
      <c r="C117" t="s">
        <v>352</v>
      </c>
      <c r="D117" t="s">
        <v>353</v>
      </c>
      <c r="E117" t="s">
        <v>77</v>
      </c>
      <c r="F117">
        <v>4</v>
      </c>
      <c r="G117">
        <v>3789.16</v>
      </c>
      <c r="H117">
        <v>2301.5700000000002</v>
      </c>
      <c r="I117">
        <v>0</v>
      </c>
      <c r="J117">
        <v>562.66999999999996</v>
      </c>
      <c r="M117" t="b">
        <f t="shared" si="10"/>
        <v>0</v>
      </c>
      <c r="N117" t="b">
        <f t="shared" ca="1" si="11"/>
        <v>0</v>
      </c>
      <c r="O117" t="b">
        <f t="shared" si="12"/>
        <v>1</v>
      </c>
      <c r="P117" t="b">
        <f t="shared" ca="1" si="13"/>
        <v>1</v>
      </c>
      <c r="Q117" t="b">
        <f>TRUE()</f>
        <v>1</v>
      </c>
      <c r="R117" t="b">
        <f t="shared" si="14"/>
        <v>1</v>
      </c>
      <c r="S117" t="b">
        <f t="shared" si="15"/>
        <v>1</v>
      </c>
      <c r="T117" t="b">
        <f t="shared" si="16"/>
        <v>1</v>
      </c>
      <c r="U117" t="b">
        <f t="shared" si="17"/>
        <v>1</v>
      </c>
      <c r="V117" t="b">
        <f t="shared" si="18"/>
        <v>1</v>
      </c>
      <c r="X117" t="b">
        <f t="shared" ca="1" si="19"/>
        <v>1</v>
      </c>
    </row>
    <row r="118" spans="2:24" ht="15" x14ac:dyDescent="0.25">
      <c r="B118" t="s">
        <v>354</v>
      </c>
      <c r="C118" t="s">
        <v>355</v>
      </c>
      <c r="D118" t="s">
        <v>356</v>
      </c>
      <c r="E118" t="s">
        <v>77</v>
      </c>
      <c r="F118">
        <v>4</v>
      </c>
      <c r="G118">
        <v>1692.84</v>
      </c>
      <c r="H118">
        <v>663.84</v>
      </c>
      <c r="I118">
        <v>0</v>
      </c>
      <c r="J118">
        <v>0</v>
      </c>
      <c r="M118" t="b">
        <f t="shared" si="10"/>
        <v>0</v>
      </c>
      <c r="N118" t="b">
        <f t="shared" ca="1" si="11"/>
        <v>0</v>
      </c>
      <c r="O118" t="b">
        <f t="shared" si="12"/>
        <v>1</v>
      </c>
      <c r="P118" t="b">
        <f t="shared" ca="1" si="13"/>
        <v>1</v>
      </c>
      <c r="Q118" t="b">
        <f>TRUE()</f>
        <v>1</v>
      </c>
      <c r="R118" t="b">
        <f t="shared" si="14"/>
        <v>1</v>
      </c>
      <c r="S118" t="b">
        <f t="shared" si="15"/>
        <v>1</v>
      </c>
      <c r="T118" t="b">
        <f t="shared" si="16"/>
        <v>1</v>
      </c>
      <c r="U118" t="b">
        <f t="shared" si="17"/>
        <v>1</v>
      </c>
      <c r="V118" t="b">
        <f t="shared" si="18"/>
        <v>1</v>
      </c>
      <c r="X118" t="b">
        <f t="shared" ca="1" si="19"/>
        <v>1</v>
      </c>
    </row>
    <row r="119" spans="2:24" ht="15" x14ac:dyDescent="0.25">
      <c r="B119" t="s">
        <v>357</v>
      </c>
      <c r="C119" t="s">
        <v>358</v>
      </c>
      <c r="D119" t="s">
        <v>359</v>
      </c>
      <c r="E119" t="s">
        <v>77</v>
      </c>
      <c r="F119">
        <v>4</v>
      </c>
      <c r="G119">
        <v>1298.69</v>
      </c>
      <c r="H119">
        <v>118.75</v>
      </c>
      <c r="I119">
        <v>0</v>
      </c>
      <c r="J119">
        <v>0</v>
      </c>
      <c r="M119" t="b">
        <f t="shared" si="10"/>
        <v>0</v>
      </c>
      <c r="N119" t="b">
        <f t="shared" ca="1" si="11"/>
        <v>0</v>
      </c>
      <c r="O119" t="b">
        <f t="shared" si="12"/>
        <v>1</v>
      </c>
      <c r="P119" t="b">
        <f t="shared" ca="1" si="13"/>
        <v>1</v>
      </c>
      <c r="Q119" t="b">
        <f>TRUE()</f>
        <v>1</v>
      </c>
      <c r="R119" t="b">
        <f t="shared" si="14"/>
        <v>1</v>
      </c>
      <c r="S119" t="b">
        <f t="shared" si="15"/>
        <v>1</v>
      </c>
      <c r="T119" t="b">
        <f t="shared" si="16"/>
        <v>1</v>
      </c>
      <c r="U119" t="b">
        <f t="shared" si="17"/>
        <v>1</v>
      </c>
      <c r="V119" t="b">
        <f t="shared" si="18"/>
        <v>1</v>
      </c>
      <c r="X119" t="b">
        <f t="shared" ca="1" si="19"/>
        <v>1</v>
      </c>
    </row>
    <row r="120" spans="2:24" ht="15" x14ac:dyDescent="0.25">
      <c r="B120" t="s">
        <v>360</v>
      </c>
      <c r="C120" t="s">
        <v>361</v>
      </c>
      <c r="D120" t="s">
        <v>362</v>
      </c>
      <c r="E120" t="s">
        <v>77</v>
      </c>
      <c r="F120">
        <v>4</v>
      </c>
      <c r="G120">
        <v>692.31</v>
      </c>
      <c r="H120">
        <v>83.31</v>
      </c>
      <c r="I120">
        <v>0</v>
      </c>
      <c r="J120">
        <v>0</v>
      </c>
      <c r="M120" t="b">
        <f t="shared" si="10"/>
        <v>0</v>
      </c>
      <c r="N120" t="b">
        <f t="shared" ca="1" si="11"/>
        <v>0</v>
      </c>
      <c r="O120" t="b">
        <f t="shared" si="12"/>
        <v>1</v>
      </c>
      <c r="P120" t="b">
        <f t="shared" ca="1" si="13"/>
        <v>1</v>
      </c>
      <c r="Q120" t="b">
        <f>TRUE()</f>
        <v>1</v>
      </c>
      <c r="R120" t="b">
        <f t="shared" si="14"/>
        <v>1</v>
      </c>
      <c r="S120" t="b">
        <f t="shared" si="15"/>
        <v>1</v>
      </c>
      <c r="T120" t="b">
        <f t="shared" si="16"/>
        <v>1</v>
      </c>
      <c r="U120" t="b">
        <f t="shared" si="17"/>
        <v>1</v>
      </c>
      <c r="V120" t="b">
        <f t="shared" si="18"/>
        <v>1</v>
      </c>
      <c r="X120" t="b">
        <f t="shared" ca="1" si="19"/>
        <v>1</v>
      </c>
    </row>
    <row r="121" spans="2:24" ht="15" x14ac:dyDescent="0.25">
      <c r="B121" t="s">
        <v>363</v>
      </c>
      <c r="C121" t="s">
        <v>364</v>
      </c>
      <c r="D121" t="s">
        <v>365</v>
      </c>
      <c r="E121" t="s">
        <v>77</v>
      </c>
      <c r="F121">
        <v>4</v>
      </c>
      <c r="G121">
        <v>1257.83</v>
      </c>
      <c r="H121">
        <v>173.94</v>
      </c>
      <c r="I121">
        <v>0</v>
      </c>
      <c r="J121">
        <v>0</v>
      </c>
      <c r="M121" t="b">
        <f t="shared" si="10"/>
        <v>0</v>
      </c>
      <c r="N121" t="b">
        <f t="shared" ca="1" si="11"/>
        <v>0</v>
      </c>
      <c r="O121" t="b">
        <f t="shared" si="12"/>
        <v>1</v>
      </c>
      <c r="P121" t="b">
        <f t="shared" ca="1" si="13"/>
        <v>1</v>
      </c>
      <c r="Q121" t="b">
        <f>TRUE()</f>
        <v>1</v>
      </c>
      <c r="R121" t="b">
        <f t="shared" si="14"/>
        <v>1</v>
      </c>
      <c r="S121" t="b">
        <f t="shared" si="15"/>
        <v>1</v>
      </c>
      <c r="T121" t="b">
        <f t="shared" si="16"/>
        <v>1</v>
      </c>
      <c r="U121" t="b">
        <f t="shared" si="17"/>
        <v>1</v>
      </c>
      <c r="V121" t="b">
        <f t="shared" si="18"/>
        <v>1</v>
      </c>
      <c r="X121" t="b">
        <f t="shared" ca="1" si="19"/>
        <v>1</v>
      </c>
    </row>
    <row r="122" spans="2:24" ht="15" x14ac:dyDescent="0.25">
      <c r="B122" t="s">
        <v>366</v>
      </c>
      <c r="C122" t="s">
        <v>367</v>
      </c>
      <c r="D122" t="s">
        <v>368</v>
      </c>
      <c r="E122" t="s">
        <v>77</v>
      </c>
      <c r="F122">
        <v>4</v>
      </c>
      <c r="G122">
        <v>1728.86</v>
      </c>
      <c r="H122">
        <v>405.86</v>
      </c>
      <c r="I122">
        <v>0</v>
      </c>
      <c r="J122">
        <v>0</v>
      </c>
      <c r="M122" t="b">
        <f t="shared" si="10"/>
        <v>0</v>
      </c>
      <c r="N122" t="b">
        <f t="shared" ca="1" si="11"/>
        <v>0</v>
      </c>
      <c r="O122" t="b">
        <f t="shared" si="12"/>
        <v>1</v>
      </c>
      <c r="P122" t="b">
        <f t="shared" ca="1" si="13"/>
        <v>1</v>
      </c>
      <c r="Q122" t="b">
        <f>TRUE()</f>
        <v>1</v>
      </c>
      <c r="R122" t="b">
        <f t="shared" si="14"/>
        <v>1</v>
      </c>
      <c r="S122" t="b">
        <f t="shared" si="15"/>
        <v>1</v>
      </c>
      <c r="T122" t="b">
        <f t="shared" si="16"/>
        <v>1</v>
      </c>
      <c r="U122" t="b">
        <f t="shared" si="17"/>
        <v>1</v>
      </c>
      <c r="V122" t="b">
        <f t="shared" si="18"/>
        <v>1</v>
      </c>
      <c r="X122" t="b">
        <f t="shared" ca="1" si="19"/>
        <v>1</v>
      </c>
    </row>
    <row r="123" spans="2:24" ht="15" x14ac:dyDescent="0.25">
      <c r="B123" t="s">
        <v>369</v>
      </c>
      <c r="C123" t="s">
        <v>370</v>
      </c>
      <c r="D123" t="s">
        <v>371</v>
      </c>
      <c r="E123" t="s">
        <v>77</v>
      </c>
      <c r="F123">
        <v>4</v>
      </c>
      <c r="G123">
        <v>1668.05</v>
      </c>
      <c r="H123">
        <v>1043.3</v>
      </c>
      <c r="I123">
        <v>0</v>
      </c>
      <c r="J123">
        <v>0</v>
      </c>
      <c r="M123" t="b">
        <f t="shared" si="10"/>
        <v>0</v>
      </c>
      <c r="N123" t="b">
        <f t="shared" ca="1" si="11"/>
        <v>0</v>
      </c>
      <c r="O123" t="b">
        <f t="shared" si="12"/>
        <v>1</v>
      </c>
      <c r="P123" t="b">
        <f t="shared" ca="1" si="13"/>
        <v>1</v>
      </c>
      <c r="Q123" t="b">
        <f>TRUE()</f>
        <v>1</v>
      </c>
      <c r="R123" t="b">
        <f t="shared" si="14"/>
        <v>1</v>
      </c>
      <c r="S123" t="b">
        <f t="shared" si="15"/>
        <v>1</v>
      </c>
      <c r="T123" t="b">
        <f t="shared" si="16"/>
        <v>1</v>
      </c>
      <c r="U123" t="b">
        <f t="shared" si="17"/>
        <v>1</v>
      </c>
      <c r="V123" t="b">
        <f t="shared" si="18"/>
        <v>1</v>
      </c>
      <c r="X123" t="b">
        <f t="shared" ca="1" si="19"/>
        <v>1</v>
      </c>
    </row>
    <row r="124" spans="2:24" ht="15" x14ac:dyDescent="0.25">
      <c r="B124" t="s">
        <v>372</v>
      </c>
      <c r="C124" t="s">
        <v>373</v>
      </c>
      <c r="D124" t="s">
        <v>374</v>
      </c>
      <c r="E124" t="s">
        <v>77</v>
      </c>
      <c r="F124">
        <v>4</v>
      </c>
      <c r="G124">
        <v>1635.33</v>
      </c>
      <c r="H124">
        <v>111.83</v>
      </c>
      <c r="I124">
        <v>0</v>
      </c>
      <c r="J124">
        <v>0</v>
      </c>
      <c r="M124" t="b">
        <f t="shared" si="10"/>
        <v>0</v>
      </c>
      <c r="N124" t="b">
        <f t="shared" ca="1" si="11"/>
        <v>0</v>
      </c>
      <c r="O124" t="b">
        <f t="shared" si="12"/>
        <v>1</v>
      </c>
      <c r="P124" t="b">
        <f t="shared" ca="1" si="13"/>
        <v>1</v>
      </c>
      <c r="Q124" t="b">
        <f>TRUE()</f>
        <v>1</v>
      </c>
      <c r="R124" t="b">
        <f t="shared" si="14"/>
        <v>1</v>
      </c>
      <c r="S124" t="b">
        <f t="shared" si="15"/>
        <v>1</v>
      </c>
      <c r="T124" t="b">
        <f t="shared" si="16"/>
        <v>1</v>
      </c>
      <c r="U124" t="b">
        <f t="shared" si="17"/>
        <v>1</v>
      </c>
      <c r="V124" t="b">
        <f t="shared" si="18"/>
        <v>1</v>
      </c>
      <c r="X124" t="b">
        <f t="shared" ca="1" si="19"/>
        <v>1</v>
      </c>
    </row>
    <row r="125" spans="2:24" ht="15" x14ac:dyDescent="0.25">
      <c r="B125" t="s">
        <v>375</v>
      </c>
      <c r="C125" t="s">
        <v>376</v>
      </c>
      <c r="D125" t="s">
        <v>377</v>
      </c>
      <c r="E125" t="s">
        <v>77</v>
      </c>
      <c r="F125">
        <v>4</v>
      </c>
      <c r="G125">
        <v>1624.84</v>
      </c>
      <c r="H125">
        <v>972.34</v>
      </c>
      <c r="I125">
        <v>0</v>
      </c>
      <c r="J125">
        <v>0</v>
      </c>
      <c r="M125" t="b">
        <f t="shared" si="10"/>
        <v>0</v>
      </c>
      <c r="N125" t="b">
        <f t="shared" ca="1" si="11"/>
        <v>0</v>
      </c>
      <c r="O125" t="b">
        <f t="shared" si="12"/>
        <v>1</v>
      </c>
      <c r="P125" t="b">
        <f t="shared" ca="1" si="13"/>
        <v>1</v>
      </c>
      <c r="Q125" t="b">
        <f>TRUE()</f>
        <v>1</v>
      </c>
      <c r="R125" t="b">
        <f t="shared" si="14"/>
        <v>1</v>
      </c>
      <c r="S125" t="b">
        <f t="shared" si="15"/>
        <v>1</v>
      </c>
      <c r="T125" t="b">
        <f t="shared" si="16"/>
        <v>1</v>
      </c>
      <c r="U125" t="b">
        <f t="shared" si="17"/>
        <v>1</v>
      </c>
      <c r="V125" t="b">
        <f t="shared" si="18"/>
        <v>1</v>
      </c>
      <c r="X125" t="b">
        <f t="shared" ca="1" si="19"/>
        <v>1</v>
      </c>
    </row>
    <row r="126" spans="2:24" ht="15" x14ac:dyDescent="0.25">
      <c r="B126" t="s">
        <v>378</v>
      </c>
      <c r="C126" t="s">
        <v>379</v>
      </c>
      <c r="D126" t="s">
        <v>380</v>
      </c>
      <c r="E126" t="s">
        <v>77</v>
      </c>
      <c r="F126">
        <v>4</v>
      </c>
      <c r="G126">
        <v>7222.72</v>
      </c>
      <c r="H126">
        <v>2022.72</v>
      </c>
      <c r="I126">
        <v>0</v>
      </c>
      <c r="J126">
        <v>1421.06</v>
      </c>
      <c r="M126" t="b">
        <f t="shared" si="10"/>
        <v>0</v>
      </c>
      <c r="N126" t="b">
        <f t="shared" ca="1" si="11"/>
        <v>0</v>
      </c>
      <c r="O126" t="b">
        <f t="shared" si="12"/>
        <v>1</v>
      </c>
      <c r="P126" t="b">
        <f t="shared" ca="1" si="13"/>
        <v>1</v>
      </c>
      <c r="Q126" t="b">
        <f>TRUE()</f>
        <v>1</v>
      </c>
      <c r="R126" t="b">
        <f t="shared" si="14"/>
        <v>1</v>
      </c>
      <c r="S126" t="b">
        <f t="shared" si="15"/>
        <v>1</v>
      </c>
      <c r="T126" t="b">
        <f t="shared" si="16"/>
        <v>1</v>
      </c>
      <c r="U126" t="b">
        <f t="shared" si="17"/>
        <v>1</v>
      </c>
      <c r="V126" t="b">
        <f t="shared" si="18"/>
        <v>1</v>
      </c>
      <c r="X126" t="b">
        <f t="shared" ca="1" si="19"/>
        <v>1</v>
      </c>
    </row>
    <row r="127" spans="2:24" ht="15" x14ac:dyDescent="0.25">
      <c r="B127" t="s">
        <v>381</v>
      </c>
      <c r="C127" t="s">
        <v>382</v>
      </c>
      <c r="D127" t="s">
        <v>383</v>
      </c>
      <c r="E127" t="s">
        <v>77</v>
      </c>
      <c r="F127">
        <v>2</v>
      </c>
      <c r="G127">
        <v>46.38</v>
      </c>
      <c r="H127">
        <v>46.38</v>
      </c>
      <c r="I127">
        <v>0</v>
      </c>
      <c r="J127">
        <v>0</v>
      </c>
      <c r="M127" t="b">
        <f t="shared" si="10"/>
        <v>0</v>
      </c>
      <c r="N127" t="b">
        <f t="shared" ca="1" si="11"/>
        <v>0</v>
      </c>
      <c r="O127" t="b">
        <f t="shared" si="12"/>
        <v>1</v>
      </c>
      <c r="P127" t="b">
        <f t="shared" ca="1" si="13"/>
        <v>1</v>
      </c>
      <c r="Q127" t="b">
        <f>TRUE()</f>
        <v>1</v>
      </c>
      <c r="R127" t="b">
        <f t="shared" si="14"/>
        <v>1</v>
      </c>
      <c r="S127" t="b">
        <f t="shared" si="15"/>
        <v>1</v>
      </c>
      <c r="T127" t="b">
        <f t="shared" si="16"/>
        <v>1</v>
      </c>
      <c r="U127" t="b">
        <f t="shared" si="17"/>
        <v>1</v>
      </c>
      <c r="V127" t="b">
        <f t="shared" si="18"/>
        <v>1</v>
      </c>
      <c r="X127" t="b">
        <f t="shared" ca="1" si="19"/>
        <v>1</v>
      </c>
    </row>
    <row r="128" spans="2:24" ht="15" x14ac:dyDescent="0.25">
      <c r="B128" t="s">
        <v>384</v>
      </c>
      <c r="C128" t="s">
        <v>385</v>
      </c>
      <c r="D128" t="s">
        <v>386</v>
      </c>
      <c r="E128" t="s">
        <v>77</v>
      </c>
      <c r="F128">
        <v>4</v>
      </c>
      <c r="G128">
        <v>1294</v>
      </c>
      <c r="H128">
        <v>467.12</v>
      </c>
      <c r="I128">
        <v>0</v>
      </c>
      <c r="J128">
        <v>0</v>
      </c>
      <c r="M128" t="b">
        <f t="shared" si="10"/>
        <v>0</v>
      </c>
      <c r="N128" t="b">
        <f t="shared" ca="1" si="11"/>
        <v>0</v>
      </c>
      <c r="O128" t="b">
        <f t="shared" si="12"/>
        <v>1</v>
      </c>
      <c r="P128" t="b">
        <f t="shared" ca="1" si="13"/>
        <v>1</v>
      </c>
      <c r="Q128" t="b">
        <f>TRUE()</f>
        <v>1</v>
      </c>
      <c r="R128" t="b">
        <f t="shared" si="14"/>
        <v>1</v>
      </c>
      <c r="S128" t="b">
        <f t="shared" si="15"/>
        <v>1</v>
      </c>
      <c r="T128" t="b">
        <f t="shared" si="16"/>
        <v>1</v>
      </c>
      <c r="U128" t="b">
        <f t="shared" si="17"/>
        <v>1</v>
      </c>
      <c r="V128" t="b">
        <f t="shared" si="18"/>
        <v>1</v>
      </c>
      <c r="X128" t="b">
        <f t="shared" ca="1" si="19"/>
        <v>1</v>
      </c>
    </row>
    <row r="129" spans="2:24" ht="15" x14ac:dyDescent="0.25">
      <c r="B129" t="s">
        <v>387</v>
      </c>
      <c r="C129" t="s">
        <v>388</v>
      </c>
      <c r="D129" t="s">
        <v>389</v>
      </c>
      <c r="E129" t="s">
        <v>77</v>
      </c>
      <c r="F129">
        <v>4</v>
      </c>
      <c r="G129">
        <v>1232.8800000000001</v>
      </c>
      <c r="H129">
        <v>676.38</v>
      </c>
      <c r="I129">
        <v>0</v>
      </c>
      <c r="J129">
        <v>0</v>
      </c>
      <c r="M129" t="b">
        <f t="shared" si="10"/>
        <v>0</v>
      </c>
      <c r="N129" t="b">
        <f t="shared" ca="1" si="11"/>
        <v>0</v>
      </c>
      <c r="O129" t="b">
        <f t="shared" si="12"/>
        <v>1</v>
      </c>
      <c r="P129" t="b">
        <f t="shared" ca="1" si="13"/>
        <v>1</v>
      </c>
      <c r="Q129" t="b">
        <f>TRUE()</f>
        <v>1</v>
      </c>
      <c r="R129" t="b">
        <f t="shared" si="14"/>
        <v>1</v>
      </c>
      <c r="S129" t="b">
        <f t="shared" si="15"/>
        <v>1</v>
      </c>
      <c r="T129" t="b">
        <f t="shared" si="16"/>
        <v>1</v>
      </c>
      <c r="U129" t="b">
        <f t="shared" si="17"/>
        <v>1</v>
      </c>
      <c r="V129" t="b">
        <f t="shared" si="18"/>
        <v>1</v>
      </c>
      <c r="X129" t="b">
        <f t="shared" ca="1" si="19"/>
        <v>1</v>
      </c>
    </row>
    <row r="130" spans="2:24" ht="15" x14ac:dyDescent="0.25">
      <c r="B130" t="s">
        <v>390</v>
      </c>
      <c r="C130" t="s">
        <v>391</v>
      </c>
      <c r="D130" t="s">
        <v>392</v>
      </c>
      <c r="E130" t="s">
        <v>77</v>
      </c>
      <c r="F130">
        <v>4</v>
      </c>
      <c r="G130">
        <v>1393.69</v>
      </c>
      <c r="H130">
        <v>173.94</v>
      </c>
      <c r="I130">
        <v>0</v>
      </c>
      <c r="J130">
        <v>0</v>
      </c>
      <c r="M130" t="b">
        <f t="shared" si="10"/>
        <v>0</v>
      </c>
      <c r="N130" t="b">
        <f t="shared" ca="1" si="11"/>
        <v>0</v>
      </c>
      <c r="O130" t="b">
        <f t="shared" si="12"/>
        <v>1</v>
      </c>
      <c r="P130" t="b">
        <f t="shared" ca="1" si="13"/>
        <v>1</v>
      </c>
      <c r="Q130" t="b">
        <f>TRUE()</f>
        <v>1</v>
      </c>
      <c r="R130" t="b">
        <f t="shared" si="14"/>
        <v>1</v>
      </c>
      <c r="S130" t="b">
        <f t="shared" si="15"/>
        <v>1</v>
      </c>
      <c r="T130" t="b">
        <f t="shared" si="16"/>
        <v>1</v>
      </c>
      <c r="U130" t="b">
        <f t="shared" si="17"/>
        <v>1</v>
      </c>
      <c r="V130" t="b">
        <f t="shared" si="18"/>
        <v>1</v>
      </c>
      <c r="X130" t="b">
        <f t="shared" ca="1" si="19"/>
        <v>1</v>
      </c>
    </row>
    <row r="131" spans="2:24" ht="15" x14ac:dyDescent="0.25">
      <c r="B131" t="s">
        <v>393</v>
      </c>
      <c r="C131" t="s">
        <v>394</v>
      </c>
      <c r="D131" t="s">
        <v>395</v>
      </c>
      <c r="E131" t="s">
        <v>77</v>
      </c>
      <c r="F131">
        <v>4</v>
      </c>
      <c r="G131">
        <v>2015.3</v>
      </c>
      <c r="H131">
        <v>579.79999999999995</v>
      </c>
      <c r="I131">
        <v>0</v>
      </c>
      <c r="J131">
        <v>0</v>
      </c>
      <c r="M131" t="b">
        <f t="shared" si="10"/>
        <v>0</v>
      </c>
      <c r="N131" t="b">
        <f t="shared" ca="1" si="11"/>
        <v>0</v>
      </c>
      <c r="O131" t="b">
        <f t="shared" si="12"/>
        <v>1</v>
      </c>
      <c r="P131" t="b">
        <f t="shared" ca="1" si="13"/>
        <v>1</v>
      </c>
      <c r="Q131" t="b">
        <f>TRUE()</f>
        <v>1</v>
      </c>
      <c r="R131" t="b">
        <f t="shared" si="14"/>
        <v>1</v>
      </c>
      <c r="S131" t="b">
        <f t="shared" si="15"/>
        <v>1</v>
      </c>
      <c r="T131" t="b">
        <f t="shared" si="16"/>
        <v>1</v>
      </c>
      <c r="U131" t="b">
        <f t="shared" si="17"/>
        <v>1</v>
      </c>
      <c r="V131" t="b">
        <f t="shared" si="18"/>
        <v>1</v>
      </c>
      <c r="X131" t="b">
        <f t="shared" ca="1" si="19"/>
        <v>1</v>
      </c>
    </row>
    <row r="132" spans="2:24" ht="15" x14ac:dyDescent="0.25">
      <c r="B132" t="s">
        <v>396</v>
      </c>
      <c r="C132" t="s">
        <v>397</v>
      </c>
      <c r="D132" t="s">
        <v>398</v>
      </c>
      <c r="E132" t="s">
        <v>77</v>
      </c>
      <c r="F132">
        <v>4</v>
      </c>
      <c r="G132">
        <v>995.54</v>
      </c>
      <c r="H132">
        <v>185.54</v>
      </c>
      <c r="I132">
        <v>0</v>
      </c>
      <c r="J132">
        <v>0</v>
      </c>
      <c r="M132" t="b">
        <f t="shared" si="10"/>
        <v>0</v>
      </c>
      <c r="N132" t="b">
        <f t="shared" ca="1" si="11"/>
        <v>0</v>
      </c>
      <c r="O132" t="b">
        <f t="shared" si="12"/>
        <v>1</v>
      </c>
      <c r="P132" t="b">
        <f t="shared" ca="1" si="13"/>
        <v>1</v>
      </c>
      <c r="Q132" t="b">
        <f>TRUE()</f>
        <v>1</v>
      </c>
      <c r="R132" t="b">
        <f t="shared" si="14"/>
        <v>1</v>
      </c>
      <c r="S132" t="b">
        <f t="shared" si="15"/>
        <v>1</v>
      </c>
      <c r="T132" t="b">
        <f t="shared" si="16"/>
        <v>1</v>
      </c>
      <c r="U132" t="b">
        <f t="shared" si="17"/>
        <v>1</v>
      </c>
      <c r="V132" t="b">
        <f t="shared" si="18"/>
        <v>1</v>
      </c>
      <c r="X132" t="b">
        <f t="shared" ca="1" si="19"/>
        <v>1</v>
      </c>
    </row>
    <row r="133" spans="2:24" ht="15" x14ac:dyDescent="0.25">
      <c r="B133" t="s">
        <v>399</v>
      </c>
      <c r="C133" t="s">
        <v>400</v>
      </c>
      <c r="D133" t="s">
        <v>401</v>
      </c>
      <c r="E133" t="s">
        <v>77</v>
      </c>
      <c r="F133">
        <v>2</v>
      </c>
      <c r="G133">
        <v>1408.84</v>
      </c>
      <c r="H133">
        <v>1138.8399999999999</v>
      </c>
      <c r="I133">
        <v>0</v>
      </c>
      <c r="J133">
        <v>0</v>
      </c>
      <c r="M133" t="b">
        <f t="shared" si="10"/>
        <v>0</v>
      </c>
      <c r="N133" t="b">
        <f t="shared" ca="1" si="11"/>
        <v>0</v>
      </c>
      <c r="O133" t="b">
        <f t="shared" si="12"/>
        <v>1</v>
      </c>
      <c r="P133" t="b">
        <f t="shared" ca="1" si="13"/>
        <v>1</v>
      </c>
      <c r="Q133" t="b">
        <f>TRUE()</f>
        <v>1</v>
      </c>
      <c r="R133" t="b">
        <f t="shared" si="14"/>
        <v>1</v>
      </c>
      <c r="S133" t="b">
        <f t="shared" si="15"/>
        <v>1</v>
      </c>
      <c r="T133" t="b">
        <f t="shared" si="16"/>
        <v>1</v>
      </c>
      <c r="U133" t="b">
        <f t="shared" si="17"/>
        <v>1</v>
      </c>
      <c r="V133" t="b">
        <f t="shared" si="18"/>
        <v>1</v>
      </c>
      <c r="X133" t="b">
        <f t="shared" ca="1" si="19"/>
        <v>1</v>
      </c>
    </row>
    <row r="134" spans="2:24" ht="15" x14ac:dyDescent="0.25">
      <c r="B134" t="s">
        <v>402</v>
      </c>
      <c r="C134" t="s">
        <v>403</v>
      </c>
      <c r="D134" t="s">
        <v>404</v>
      </c>
      <c r="E134" t="s">
        <v>77</v>
      </c>
      <c r="F134">
        <v>4</v>
      </c>
      <c r="G134">
        <v>6244.8</v>
      </c>
      <c r="H134">
        <v>1444.8</v>
      </c>
      <c r="I134">
        <v>0</v>
      </c>
      <c r="J134">
        <v>1176.58</v>
      </c>
      <c r="M134" t="b">
        <f t="shared" si="10"/>
        <v>0</v>
      </c>
      <c r="N134" t="b">
        <f t="shared" ca="1" si="11"/>
        <v>0</v>
      </c>
      <c r="O134" t="b">
        <f t="shared" si="12"/>
        <v>1</v>
      </c>
      <c r="P134" t="b">
        <f t="shared" ca="1" si="13"/>
        <v>1</v>
      </c>
      <c r="Q134" t="b">
        <f>TRUE()</f>
        <v>1</v>
      </c>
      <c r="R134" t="b">
        <f t="shared" si="14"/>
        <v>1</v>
      </c>
      <c r="S134" t="b">
        <f t="shared" si="15"/>
        <v>1</v>
      </c>
      <c r="T134" t="b">
        <f t="shared" si="16"/>
        <v>1</v>
      </c>
      <c r="U134" t="b">
        <f t="shared" si="17"/>
        <v>1</v>
      </c>
      <c r="V134" t="b">
        <f t="shared" si="18"/>
        <v>1</v>
      </c>
      <c r="X134" t="b">
        <f t="shared" ca="1" si="19"/>
        <v>1</v>
      </c>
    </row>
    <row r="135" spans="2:24" ht="15" x14ac:dyDescent="0.25">
      <c r="B135" t="s">
        <v>405</v>
      </c>
      <c r="C135" t="s">
        <v>406</v>
      </c>
      <c r="D135" t="s">
        <v>407</v>
      </c>
      <c r="E135" t="s">
        <v>77</v>
      </c>
      <c r="F135">
        <v>4</v>
      </c>
      <c r="G135">
        <v>1351.94</v>
      </c>
      <c r="H135">
        <v>173.94</v>
      </c>
      <c r="I135">
        <v>0</v>
      </c>
      <c r="J135">
        <v>0</v>
      </c>
      <c r="M135" t="b">
        <f t="shared" si="10"/>
        <v>0</v>
      </c>
      <c r="N135" t="b">
        <f t="shared" ca="1" si="11"/>
        <v>0</v>
      </c>
      <c r="O135" t="b">
        <f t="shared" si="12"/>
        <v>1</v>
      </c>
      <c r="P135" t="b">
        <f t="shared" ca="1" si="13"/>
        <v>1</v>
      </c>
      <c r="Q135" t="b">
        <f>TRUE()</f>
        <v>1</v>
      </c>
      <c r="R135" t="b">
        <f t="shared" si="14"/>
        <v>1</v>
      </c>
      <c r="S135" t="b">
        <f t="shared" si="15"/>
        <v>1</v>
      </c>
      <c r="T135" t="b">
        <f t="shared" si="16"/>
        <v>1</v>
      </c>
      <c r="U135" t="b">
        <f t="shared" si="17"/>
        <v>1</v>
      </c>
      <c r="V135" t="b">
        <f t="shared" si="18"/>
        <v>1</v>
      </c>
      <c r="X135" t="b">
        <f t="shared" ca="1" si="19"/>
        <v>1</v>
      </c>
    </row>
    <row r="136" spans="2:24" ht="15" x14ac:dyDescent="0.25">
      <c r="B136" t="s">
        <v>408</v>
      </c>
      <c r="C136" t="s">
        <v>409</v>
      </c>
      <c r="D136" t="s">
        <v>410</v>
      </c>
      <c r="E136" t="s">
        <v>77</v>
      </c>
      <c r="F136">
        <v>4</v>
      </c>
      <c r="G136">
        <v>1036.46</v>
      </c>
      <c r="H136">
        <v>115.96</v>
      </c>
      <c r="I136">
        <v>0</v>
      </c>
      <c r="J136">
        <v>0</v>
      </c>
      <c r="M136" t="b">
        <f t="shared" si="10"/>
        <v>0</v>
      </c>
      <c r="N136" t="b">
        <f t="shared" ca="1" si="11"/>
        <v>0</v>
      </c>
      <c r="O136" t="b">
        <f t="shared" si="12"/>
        <v>1</v>
      </c>
      <c r="P136" t="b">
        <f t="shared" ca="1" si="13"/>
        <v>1</v>
      </c>
      <c r="Q136" t="b">
        <f>TRUE()</f>
        <v>1</v>
      </c>
      <c r="R136" t="b">
        <f t="shared" si="14"/>
        <v>1</v>
      </c>
      <c r="S136" t="b">
        <f t="shared" si="15"/>
        <v>1</v>
      </c>
      <c r="T136" t="b">
        <f t="shared" si="16"/>
        <v>1</v>
      </c>
      <c r="U136" t="b">
        <f t="shared" si="17"/>
        <v>1</v>
      </c>
      <c r="V136" t="b">
        <f t="shared" si="18"/>
        <v>1</v>
      </c>
      <c r="X136" t="b">
        <f t="shared" ca="1" si="19"/>
        <v>1</v>
      </c>
    </row>
    <row r="137" spans="2:24" ht="15" x14ac:dyDescent="0.25">
      <c r="B137" t="s">
        <v>411</v>
      </c>
      <c r="C137" t="s">
        <v>412</v>
      </c>
      <c r="D137" t="s">
        <v>413</v>
      </c>
      <c r="E137" t="s">
        <v>77</v>
      </c>
      <c r="F137">
        <v>4</v>
      </c>
      <c r="G137">
        <v>1895.25</v>
      </c>
      <c r="H137">
        <v>118.75</v>
      </c>
      <c r="I137">
        <v>0</v>
      </c>
      <c r="J137">
        <v>0</v>
      </c>
      <c r="M137" t="b">
        <f t="shared" si="10"/>
        <v>0</v>
      </c>
      <c r="N137" t="b">
        <f t="shared" ca="1" si="11"/>
        <v>0</v>
      </c>
      <c r="O137" t="b">
        <f t="shared" si="12"/>
        <v>1</v>
      </c>
      <c r="P137" t="b">
        <f t="shared" ca="1" si="13"/>
        <v>1</v>
      </c>
      <c r="Q137" t="b">
        <f>TRUE()</f>
        <v>1</v>
      </c>
      <c r="R137" t="b">
        <f t="shared" si="14"/>
        <v>1</v>
      </c>
      <c r="S137" t="b">
        <f t="shared" si="15"/>
        <v>1</v>
      </c>
      <c r="T137" t="b">
        <f t="shared" si="16"/>
        <v>1</v>
      </c>
      <c r="U137" t="b">
        <f t="shared" si="17"/>
        <v>1</v>
      </c>
      <c r="V137" t="b">
        <f t="shared" si="18"/>
        <v>1</v>
      </c>
      <c r="X137" t="b">
        <f t="shared" ca="1" si="19"/>
        <v>1</v>
      </c>
    </row>
    <row r="138" spans="2:24" ht="15" x14ac:dyDescent="0.25">
      <c r="B138" t="s">
        <v>414</v>
      </c>
      <c r="C138" t="s">
        <v>415</v>
      </c>
      <c r="D138" t="s">
        <v>416</v>
      </c>
      <c r="E138" t="s">
        <v>77</v>
      </c>
      <c r="F138">
        <v>4</v>
      </c>
      <c r="G138">
        <v>1307.78</v>
      </c>
      <c r="H138">
        <v>289.89999999999998</v>
      </c>
      <c r="I138">
        <v>0</v>
      </c>
      <c r="J138">
        <v>0</v>
      </c>
      <c r="M138" t="b">
        <f t="shared" si="10"/>
        <v>0</v>
      </c>
      <c r="N138" t="b">
        <f t="shared" ca="1" si="11"/>
        <v>0</v>
      </c>
      <c r="O138" t="b">
        <f t="shared" si="12"/>
        <v>1</v>
      </c>
      <c r="P138" t="b">
        <f t="shared" ca="1" si="13"/>
        <v>1</v>
      </c>
      <c r="Q138" t="b">
        <f>TRUE()</f>
        <v>1</v>
      </c>
      <c r="R138" t="b">
        <f t="shared" si="14"/>
        <v>1</v>
      </c>
      <c r="S138" t="b">
        <f t="shared" si="15"/>
        <v>1</v>
      </c>
      <c r="T138" t="b">
        <f t="shared" si="16"/>
        <v>1</v>
      </c>
      <c r="U138" t="b">
        <f t="shared" si="17"/>
        <v>1</v>
      </c>
      <c r="V138" t="b">
        <f t="shared" si="18"/>
        <v>1</v>
      </c>
      <c r="X138" t="b">
        <f t="shared" ca="1" si="19"/>
        <v>1</v>
      </c>
    </row>
    <row r="139" spans="2:24" ht="15" x14ac:dyDescent="0.25">
      <c r="B139" t="s">
        <v>417</v>
      </c>
      <c r="C139" t="s">
        <v>418</v>
      </c>
      <c r="D139" t="s">
        <v>419</v>
      </c>
      <c r="E139" t="s">
        <v>77</v>
      </c>
      <c r="F139">
        <v>4</v>
      </c>
      <c r="G139">
        <v>946.92</v>
      </c>
      <c r="H139">
        <v>946.92</v>
      </c>
      <c r="I139">
        <v>0</v>
      </c>
      <c r="J139">
        <v>0</v>
      </c>
      <c r="M139" t="b">
        <f t="shared" si="10"/>
        <v>0</v>
      </c>
      <c r="N139" t="b">
        <f t="shared" ca="1" si="11"/>
        <v>0</v>
      </c>
      <c r="O139" t="b">
        <f t="shared" si="12"/>
        <v>1</v>
      </c>
      <c r="P139" t="b">
        <f t="shared" ca="1" si="13"/>
        <v>1</v>
      </c>
      <c r="Q139" t="b">
        <f>TRUE()</f>
        <v>1</v>
      </c>
      <c r="R139" t="b">
        <f t="shared" si="14"/>
        <v>1</v>
      </c>
      <c r="S139" t="b">
        <f t="shared" si="15"/>
        <v>1</v>
      </c>
      <c r="T139" t="b">
        <f t="shared" si="16"/>
        <v>1</v>
      </c>
      <c r="U139" t="b">
        <f t="shared" si="17"/>
        <v>1</v>
      </c>
      <c r="V139" t="b">
        <f t="shared" si="18"/>
        <v>1</v>
      </c>
      <c r="X139" t="b">
        <f t="shared" ca="1" si="19"/>
        <v>1</v>
      </c>
    </row>
    <row r="140" spans="2:24" ht="15" x14ac:dyDescent="0.25">
      <c r="B140" t="s">
        <v>420</v>
      </c>
      <c r="C140" t="s">
        <v>421</v>
      </c>
      <c r="D140" t="s">
        <v>422</v>
      </c>
      <c r="E140" t="s">
        <v>77</v>
      </c>
      <c r="F140">
        <v>4</v>
      </c>
      <c r="G140">
        <v>2055.17</v>
      </c>
      <c r="H140">
        <v>231.92</v>
      </c>
      <c r="I140">
        <v>0</v>
      </c>
      <c r="J140">
        <v>0</v>
      </c>
      <c r="M140" t="b">
        <f t="shared" si="10"/>
        <v>0</v>
      </c>
      <c r="N140" t="b">
        <f t="shared" ca="1" si="11"/>
        <v>0</v>
      </c>
      <c r="O140" t="b">
        <f t="shared" si="12"/>
        <v>1</v>
      </c>
      <c r="P140" t="b">
        <f t="shared" ca="1" si="13"/>
        <v>1</v>
      </c>
      <c r="Q140" t="b">
        <f>TRUE()</f>
        <v>1</v>
      </c>
      <c r="R140" t="b">
        <f t="shared" si="14"/>
        <v>1</v>
      </c>
      <c r="S140" t="b">
        <f t="shared" si="15"/>
        <v>1</v>
      </c>
      <c r="T140" t="b">
        <f t="shared" si="16"/>
        <v>1</v>
      </c>
      <c r="U140" t="b">
        <f t="shared" si="17"/>
        <v>1</v>
      </c>
      <c r="V140" t="b">
        <f t="shared" si="18"/>
        <v>1</v>
      </c>
      <c r="X140" t="b">
        <f t="shared" ca="1" si="19"/>
        <v>1</v>
      </c>
    </row>
    <row r="141" spans="2:24" ht="15" x14ac:dyDescent="0.25">
      <c r="B141" t="s">
        <v>423</v>
      </c>
      <c r="C141" t="s">
        <v>424</v>
      </c>
      <c r="D141" t="s">
        <v>425</v>
      </c>
      <c r="E141" t="s">
        <v>77</v>
      </c>
      <c r="F141">
        <v>4</v>
      </c>
      <c r="G141">
        <v>1345.86</v>
      </c>
      <c r="H141">
        <v>274.86</v>
      </c>
      <c r="I141">
        <v>0</v>
      </c>
      <c r="J141">
        <v>0</v>
      </c>
      <c r="M141" t="b">
        <f t="shared" si="10"/>
        <v>0</v>
      </c>
      <c r="N141" t="b">
        <f t="shared" ca="1" si="11"/>
        <v>0</v>
      </c>
      <c r="O141" t="b">
        <f t="shared" si="12"/>
        <v>1</v>
      </c>
      <c r="P141" t="b">
        <f t="shared" ca="1" si="13"/>
        <v>1</v>
      </c>
      <c r="Q141" t="b">
        <f>TRUE()</f>
        <v>1</v>
      </c>
      <c r="R141" t="b">
        <f t="shared" si="14"/>
        <v>1</v>
      </c>
      <c r="S141" t="b">
        <f t="shared" si="15"/>
        <v>1</v>
      </c>
      <c r="T141" t="b">
        <f t="shared" si="16"/>
        <v>1</v>
      </c>
      <c r="U141" t="b">
        <f t="shared" si="17"/>
        <v>1</v>
      </c>
      <c r="V141" t="b">
        <f t="shared" si="18"/>
        <v>1</v>
      </c>
      <c r="X141" t="b">
        <f t="shared" ca="1" si="19"/>
        <v>1</v>
      </c>
    </row>
    <row r="142" spans="2:24" ht="15" x14ac:dyDescent="0.25">
      <c r="B142" t="s">
        <v>426</v>
      </c>
      <c r="C142" t="s">
        <v>427</v>
      </c>
      <c r="D142" t="s">
        <v>428</v>
      </c>
      <c r="E142" t="s">
        <v>77</v>
      </c>
      <c r="F142">
        <v>4</v>
      </c>
      <c r="G142">
        <v>1799.65</v>
      </c>
      <c r="H142">
        <v>289.89999999999998</v>
      </c>
      <c r="I142">
        <v>0</v>
      </c>
      <c r="J142">
        <v>0</v>
      </c>
      <c r="M142" t="b">
        <f t="shared" si="10"/>
        <v>0</v>
      </c>
      <c r="N142" t="b">
        <f t="shared" ca="1" si="11"/>
        <v>0</v>
      </c>
      <c r="O142" t="b">
        <f t="shared" si="12"/>
        <v>1</v>
      </c>
      <c r="P142" t="b">
        <f t="shared" ca="1" si="13"/>
        <v>1</v>
      </c>
      <c r="Q142" t="b">
        <f>TRUE()</f>
        <v>1</v>
      </c>
      <c r="R142" t="b">
        <f t="shared" si="14"/>
        <v>1</v>
      </c>
      <c r="S142" t="b">
        <f t="shared" si="15"/>
        <v>1</v>
      </c>
      <c r="T142" t="b">
        <f t="shared" si="16"/>
        <v>1</v>
      </c>
      <c r="U142" t="b">
        <f t="shared" si="17"/>
        <v>1</v>
      </c>
      <c r="V142" t="b">
        <f t="shared" si="18"/>
        <v>1</v>
      </c>
      <c r="X142" t="b">
        <f t="shared" ca="1" si="19"/>
        <v>1</v>
      </c>
    </row>
    <row r="143" spans="2:24" ht="15" x14ac:dyDescent="0.25">
      <c r="B143" t="s">
        <v>429</v>
      </c>
      <c r="C143" t="s">
        <v>430</v>
      </c>
      <c r="D143" t="s">
        <v>431</v>
      </c>
      <c r="E143" t="s">
        <v>77</v>
      </c>
      <c r="F143">
        <v>4</v>
      </c>
      <c r="G143">
        <v>1008.94</v>
      </c>
      <c r="H143">
        <v>739.19</v>
      </c>
      <c r="I143">
        <v>0</v>
      </c>
      <c r="J143">
        <v>0</v>
      </c>
      <c r="M143" t="b">
        <f t="shared" si="10"/>
        <v>0</v>
      </c>
      <c r="N143" t="b">
        <f t="shared" ca="1" si="11"/>
        <v>0</v>
      </c>
      <c r="O143" t="b">
        <f t="shared" si="12"/>
        <v>1</v>
      </c>
      <c r="P143" t="b">
        <f t="shared" ca="1" si="13"/>
        <v>1</v>
      </c>
      <c r="Q143" t="b">
        <f>TRUE()</f>
        <v>1</v>
      </c>
      <c r="R143" t="b">
        <f t="shared" si="14"/>
        <v>1</v>
      </c>
      <c r="S143" t="b">
        <f t="shared" si="15"/>
        <v>1</v>
      </c>
      <c r="T143" t="b">
        <f t="shared" si="16"/>
        <v>1</v>
      </c>
      <c r="U143" t="b">
        <f t="shared" si="17"/>
        <v>1</v>
      </c>
      <c r="V143" t="b">
        <f t="shared" si="18"/>
        <v>1</v>
      </c>
      <c r="X143" t="b">
        <f t="shared" ca="1" si="19"/>
        <v>1</v>
      </c>
    </row>
    <row r="144" spans="2:24" ht="15" x14ac:dyDescent="0.25">
      <c r="B144" t="s">
        <v>432</v>
      </c>
      <c r="C144" t="s">
        <v>433</v>
      </c>
      <c r="D144" t="s">
        <v>434</v>
      </c>
      <c r="E144" t="s">
        <v>77</v>
      </c>
      <c r="F144">
        <v>4</v>
      </c>
      <c r="G144">
        <v>1725.8</v>
      </c>
      <c r="H144">
        <v>231.92</v>
      </c>
      <c r="I144">
        <v>0</v>
      </c>
      <c r="J144">
        <v>0</v>
      </c>
      <c r="M144" t="b">
        <f t="shared" si="10"/>
        <v>0</v>
      </c>
      <c r="N144" t="b">
        <f t="shared" ca="1" si="11"/>
        <v>0</v>
      </c>
      <c r="O144" t="b">
        <f t="shared" si="12"/>
        <v>1</v>
      </c>
      <c r="P144" t="b">
        <f t="shared" ca="1" si="13"/>
        <v>1</v>
      </c>
      <c r="Q144" t="b">
        <f>TRUE()</f>
        <v>1</v>
      </c>
      <c r="R144" t="b">
        <f t="shared" si="14"/>
        <v>1</v>
      </c>
      <c r="S144" t="b">
        <f t="shared" si="15"/>
        <v>1</v>
      </c>
      <c r="T144" t="b">
        <f t="shared" si="16"/>
        <v>1</v>
      </c>
      <c r="U144" t="b">
        <f t="shared" si="17"/>
        <v>1</v>
      </c>
      <c r="V144" t="b">
        <f t="shared" si="18"/>
        <v>1</v>
      </c>
      <c r="X144" t="b">
        <f t="shared" ca="1" si="19"/>
        <v>1</v>
      </c>
    </row>
    <row r="145" spans="2:24" ht="15" x14ac:dyDescent="0.25">
      <c r="B145" t="s">
        <v>435</v>
      </c>
      <c r="C145" t="s">
        <v>436</v>
      </c>
      <c r="D145" t="s">
        <v>437</v>
      </c>
      <c r="E145" t="s">
        <v>77</v>
      </c>
      <c r="F145">
        <v>4</v>
      </c>
      <c r="G145">
        <v>1274.71</v>
      </c>
      <c r="H145">
        <v>115.96</v>
      </c>
      <c r="I145">
        <v>0</v>
      </c>
      <c r="J145">
        <v>0</v>
      </c>
      <c r="M145" t="b">
        <f t="shared" si="10"/>
        <v>0</v>
      </c>
      <c r="N145" t="b">
        <f t="shared" ca="1" si="11"/>
        <v>0</v>
      </c>
      <c r="O145" t="b">
        <f t="shared" si="12"/>
        <v>1</v>
      </c>
      <c r="P145" t="b">
        <f t="shared" ca="1" si="13"/>
        <v>1</v>
      </c>
      <c r="Q145" t="b">
        <f>TRUE()</f>
        <v>1</v>
      </c>
      <c r="R145" t="b">
        <f t="shared" si="14"/>
        <v>1</v>
      </c>
      <c r="S145" t="b">
        <f t="shared" si="15"/>
        <v>1</v>
      </c>
      <c r="T145" t="b">
        <f t="shared" si="16"/>
        <v>1</v>
      </c>
      <c r="U145" t="b">
        <f t="shared" si="17"/>
        <v>1</v>
      </c>
      <c r="V145" t="b">
        <f t="shared" si="18"/>
        <v>1</v>
      </c>
      <c r="X145" t="b">
        <f t="shared" ca="1" si="19"/>
        <v>1</v>
      </c>
    </row>
    <row r="146" spans="2:24" ht="15" x14ac:dyDescent="0.25">
      <c r="B146" t="s">
        <v>438</v>
      </c>
      <c r="C146" t="s">
        <v>439</v>
      </c>
      <c r="D146" t="s">
        <v>440</v>
      </c>
      <c r="E146" t="s">
        <v>77</v>
      </c>
      <c r="F146">
        <v>4</v>
      </c>
      <c r="G146">
        <v>1661.05</v>
      </c>
      <c r="H146">
        <v>231.92</v>
      </c>
      <c r="I146">
        <v>0</v>
      </c>
      <c r="J146">
        <v>0</v>
      </c>
      <c r="M146" t="b">
        <f t="shared" si="10"/>
        <v>0</v>
      </c>
      <c r="N146" t="b">
        <f t="shared" ca="1" si="11"/>
        <v>0</v>
      </c>
      <c r="O146" t="b">
        <f t="shared" si="12"/>
        <v>1</v>
      </c>
      <c r="P146" t="b">
        <f t="shared" ca="1" si="13"/>
        <v>1</v>
      </c>
      <c r="Q146" t="b">
        <f>TRUE()</f>
        <v>1</v>
      </c>
      <c r="R146" t="b">
        <f t="shared" si="14"/>
        <v>1</v>
      </c>
      <c r="S146" t="b">
        <f t="shared" si="15"/>
        <v>1</v>
      </c>
      <c r="T146" t="b">
        <f t="shared" si="16"/>
        <v>1</v>
      </c>
      <c r="U146" t="b">
        <f t="shared" si="17"/>
        <v>1</v>
      </c>
      <c r="V146" t="b">
        <f t="shared" si="18"/>
        <v>1</v>
      </c>
      <c r="X146" t="b">
        <f t="shared" ca="1" si="19"/>
        <v>1</v>
      </c>
    </row>
    <row r="147" spans="2:24" ht="15" x14ac:dyDescent="0.25">
      <c r="B147" t="s">
        <v>441</v>
      </c>
      <c r="C147" t="s">
        <v>442</v>
      </c>
      <c r="D147" t="s">
        <v>443</v>
      </c>
      <c r="E147" t="s">
        <v>77</v>
      </c>
      <c r="F147">
        <v>4</v>
      </c>
      <c r="G147">
        <v>2441.7800000000002</v>
      </c>
      <c r="H147">
        <v>637.78</v>
      </c>
      <c r="I147">
        <v>0</v>
      </c>
      <c r="J147">
        <v>201.91</v>
      </c>
      <c r="M147" t="b">
        <f t="shared" si="10"/>
        <v>0</v>
      </c>
      <c r="N147" t="b">
        <f t="shared" ca="1" si="11"/>
        <v>0</v>
      </c>
      <c r="O147" t="b">
        <f t="shared" si="12"/>
        <v>1</v>
      </c>
      <c r="P147" t="b">
        <f t="shared" ca="1" si="13"/>
        <v>1</v>
      </c>
      <c r="Q147" t="b">
        <f>TRUE()</f>
        <v>1</v>
      </c>
      <c r="R147" t="b">
        <f t="shared" si="14"/>
        <v>1</v>
      </c>
      <c r="S147" t="b">
        <f t="shared" si="15"/>
        <v>1</v>
      </c>
      <c r="T147" t="b">
        <f t="shared" si="16"/>
        <v>1</v>
      </c>
      <c r="U147" t="b">
        <f t="shared" si="17"/>
        <v>1</v>
      </c>
      <c r="V147" t="b">
        <f t="shared" si="18"/>
        <v>1</v>
      </c>
      <c r="X147" t="b">
        <f t="shared" ca="1" si="19"/>
        <v>1</v>
      </c>
    </row>
    <row r="148" spans="2:24" ht="15" x14ac:dyDescent="0.25">
      <c r="B148" t="s">
        <v>444</v>
      </c>
      <c r="C148" t="s">
        <v>445</v>
      </c>
      <c r="D148" t="s">
        <v>446</v>
      </c>
      <c r="E148" t="s">
        <v>77</v>
      </c>
      <c r="F148">
        <v>4</v>
      </c>
      <c r="G148">
        <v>1336.92</v>
      </c>
      <c r="H148">
        <v>1336.92</v>
      </c>
      <c r="I148">
        <v>0</v>
      </c>
      <c r="J148">
        <v>0</v>
      </c>
      <c r="M148" t="b">
        <f t="shared" si="10"/>
        <v>0</v>
      </c>
      <c r="N148" t="b">
        <f t="shared" ca="1" si="11"/>
        <v>0</v>
      </c>
      <c r="O148" t="b">
        <f t="shared" si="12"/>
        <v>1</v>
      </c>
      <c r="P148" t="b">
        <f t="shared" ca="1" si="13"/>
        <v>1</v>
      </c>
      <c r="Q148" t="b">
        <f>TRUE()</f>
        <v>1</v>
      </c>
      <c r="R148" t="b">
        <f t="shared" si="14"/>
        <v>1</v>
      </c>
      <c r="S148" t="b">
        <f t="shared" si="15"/>
        <v>1</v>
      </c>
      <c r="T148" t="b">
        <f t="shared" si="16"/>
        <v>1</v>
      </c>
      <c r="U148" t="b">
        <f t="shared" si="17"/>
        <v>1</v>
      </c>
      <c r="V148" t="b">
        <f t="shared" si="18"/>
        <v>1</v>
      </c>
      <c r="X148" t="b">
        <f t="shared" ca="1" si="19"/>
        <v>1</v>
      </c>
    </row>
    <row r="149" spans="2:24" ht="15" x14ac:dyDescent="0.25">
      <c r="B149" t="s">
        <v>447</v>
      </c>
      <c r="C149" t="s">
        <v>448</v>
      </c>
      <c r="D149" t="s">
        <v>449</v>
      </c>
      <c r="E149" t="s">
        <v>77</v>
      </c>
      <c r="F149">
        <v>4</v>
      </c>
      <c r="G149">
        <v>949.83</v>
      </c>
      <c r="H149">
        <v>384.58</v>
      </c>
      <c r="I149">
        <v>0</v>
      </c>
      <c r="J149">
        <v>0</v>
      </c>
      <c r="M149" t="b">
        <f t="shared" si="10"/>
        <v>0</v>
      </c>
      <c r="N149" t="b">
        <f t="shared" ca="1" si="11"/>
        <v>0</v>
      </c>
      <c r="O149" t="b">
        <f t="shared" si="12"/>
        <v>1</v>
      </c>
      <c r="P149" t="b">
        <f t="shared" ca="1" si="13"/>
        <v>1</v>
      </c>
      <c r="Q149" t="b">
        <f>TRUE()</f>
        <v>1</v>
      </c>
      <c r="R149" t="b">
        <f t="shared" si="14"/>
        <v>1</v>
      </c>
      <c r="S149" t="b">
        <f t="shared" si="15"/>
        <v>1</v>
      </c>
      <c r="T149" t="b">
        <f t="shared" si="16"/>
        <v>1</v>
      </c>
      <c r="U149" t="b">
        <f t="shared" si="17"/>
        <v>1</v>
      </c>
      <c r="V149" t="b">
        <f t="shared" si="18"/>
        <v>1</v>
      </c>
      <c r="X149" t="b">
        <f t="shared" ca="1" si="19"/>
        <v>1</v>
      </c>
    </row>
    <row r="150" spans="2:24" ht="15" x14ac:dyDescent="0.25">
      <c r="B150" t="s">
        <v>450</v>
      </c>
      <c r="C150" t="s">
        <v>451</v>
      </c>
      <c r="D150" t="s">
        <v>452</v>
      </c>
      <c r="E150" t="s">
        <v>77</v>
      </c>
      <c r="F150">
        <v>4</v>
      </c>
      <c r="G150">
        <v>1114.3800000000001</v>
      </c>
      <c r="H150">
        <v>118.75</v>
      </c>
      <c r="I150">
        <v>0</v>
      </c>
      <c r="J150">
        <v>0</v>
      </c>
      <c r="M150" t="b">
        <f t="shared" si="10"/>
        <v>0</v>
      </c>
      <c r="N150" t="b">
        <f t="shared" ca="1" si="11"/>
        <v>0</v>
      </c>
      <c r="O150" t="b">
        <f t="shared" si="12"/>
        <v>1</v>
      </c>
      <c r="P150" t="b">
        <f t="shared" ca="1" si="13"/>
        <v>1</v>
      </c>
      <c r="Q150" t="b">
        <f>TRUE()</f>
        <v>1</v>
      </c>
      <c r="R150" t="b">
        <f t="shared" si="14"/>
        <v>1</v>
      </c>
      <c r="S150" t="b">
        <f t="shared" si="15"/>
        <v>1</v>
      </c>
      <c r="T150" t="b">
        <f t="shared" si="16"/>
        <v>1</v>
      </c>
      <c r="U150" t="b">
        <f t="shared" si="17"/>
        <v>1</v>
      </c>
      <c r="V150" t="b">
        <f t="shared" si="18"/>
        <v>1</v>
      </c>
      <c r="X150" t="b">
        <f t="shared" ca="1" si="19"/>
        <v>1</v>
      </c>
    </row>
    <row r="151" spans="2:24" ht="15" x14ac:dyDescent="0.25">
      <c r="B151" t="s">
        <v>453</v>
      </c>
      <c r="C151" t="s">
        <v>454</v>
      </c>
      <c r="D151" t="s">
        <v>455</v>
      </c>
      <c r="E151" t="s">
        <v>77</v>
      </c>
      <c r="F151">
        <v>4</v>
      </c>
      <c r="G151">
        <v>1446.92</v>
      </c>
      <c r="H151">
        <v>231.92</v>
      </c>
      <c r="I151">
        <v>0</v>
      </c>
      <c r="J151">
        <v>0</v>
      </c>
      <c r="M151" t="b">
        <f t="shared" si="10"/>
        <v>0</v>
      </c>
      <c r="N151" t="b">
        <f t="shared" ca="1" si="11"/>
        <v>0</v>
      </c>
      <c r="O151" t="b">
        <f t="shared" si="12"/>
        <v>1</v>
      </c>
      <c r="P151" t="b">
        <f t="shared" ca="1" si="13"/>
        <v>1</v>
      </c>
      <c r="Q151" t="b">
        <f>TRUE()</f>
        <v>1</v>
      </c>
      <c r="R151" t="b">
        <f t="shared" si="14"/>
        <v>1</v>
      </c>
      <c r="S151" t="b">
        <f t="shared" si="15"/>
        <v>1</v>
      </c>
      <c r="T151" t="b">
        <f t="shared" si="16"/>
        <v>1</v>
      </c>
      <c r="U151" t="b">
        <f t="shared" si="17"/>
        <v>1</v>
      </c>
      <c r="V151" t="b">
        <f t="shared" si="18"/>
        <v>1</v>
      </c>
      <c r="X151" t="b">
        <f t="shared" ca="1" si="19"/>
        <v>1</v>
      </c>
    </row>
    <row r="152" spans="2:24" ht="15" x14ac:dyDescent="0.25">
      <c r="B152" t="s">
        <v>456</v>
      </c>
      <c r="C152" t="s">
        <v>457</v>
      </c>
      <c r="D152" t="s">
        <v>458</v>
      </c>
      <c r="E152" t="s">
        <v>77</v>
      </c>
      <c r="F152">
        <v>4</v>
      </c>
      <c r="G152">
        <v>2855.76</v>
      </c>
      <c r="H152">
        <v>695.76</v>
      </c>
      <c r="I152">
        <v>0</v>
      </c>
      <c r="J152">
        <v>329.32</v>
      </c>
      <c r="M152" t="b">
        <f t="shared" si="10"/>
        <v>0</v>
      </c>
      <c r="N152" t="b">
        <f t="shared" ca="1" si="11"/>
        <v>0</v>
      </c>
      <c r="O152" t="b">
        <f t="shared" si="12"/>
        <v>1</v>
      </c>
      <c r="P152" t="b">
        <f t="shared" ca="1" si="13"/>
        <v>1</v>
      </c>
      <c r="Q152" t="b">
        <f>TRUE()</f>
        <v>1</v>
      </c>
      <c r="R152" t="b">
        <f t="shared" si="14"/>
        <v>1</v>
      </c>
      <c r="S152" t="b">
        <f t="shared" si="15"/>
        <v>1</v>
      </c>
      <c r="T152" t="b">
        <f t="shared" si="16"/>
        <v>1</v>
      </c>
      <c r="U152" t="b">
        <f t="shared" si="17"/>
        <v>1</v>
      </c>
      <c r="V152" t="b">
        <f t="shared" si="18"/>
        <v>1</v>
      </c>
      <c r="X152" t="b">
        <f t="shared" ca="1" si="19"/>
        <v>1</v>
      </c>
    </row>
    <row r="153" spans="2:24" ht="15" x14ac:dyDescent="0.25">
      <c r="B153" t="s">
        <v>459</v>
      </c>
      <c r="C153" t="s">
        <v>460</v>
      </c>
      <c r="D153" t="s">
        <v>461</v>
      </c>
      <c r="E153" t="s">
        <v>77</v>
      </c>
      <c r="F153">
        <v>4</v>
      </c>
      <c r="G153">
        <v>1846.46</v>
      </c>
      <c r="H153">
        <v>822.01</v>
      </c>
      <c r="I153">
        <v>0</v>
      </c>
      <c r="J153">
        <v>0</v>
      </c>
      <c r="M153" t="b">
        <f t="shared" ref="M153:M216" si="20">AND(ISBLANK(B153),ISBLANK(C153),ISBLANK(D153),ISBLANK(E153),ISBLANK(F153),ISBLANK(G153),ISBLANK(H153),ISBLANK(I153),ISBLANK(J153))</f>
        <v>0</v>
      </c>
      <c r="N153" t="b">
        <f t="shared" ref="N153:N216" ca="1" si="21">AND(LEN(SUBSTITUTE(B153,"-",""))=6,ISNUMBER(_xludf.NUMBERVALUE(SUBSTITUTE(B153,"-",""))))</f>
        <v>0</v>
      </c>
      <c r="O153" t="b">
        <f t="shared" ref="O153:O216" si="22">LEN(C153)&gt;0</f>
        <v>1</v>
      </c>
      <c r="P153" t="b">
        <f t="shared" ref="P153:P216" ca="1" si="23">OR(N153, AND(O153, TRUE()))</f>
        <v>1</v>
      </c>
      <c r="Q153" t="b">
        <f>TRUE()</f>
        <v>1</v>
      </c>
      <c r="R153" t="b">
        <f t="shared" ref="R153:R216" si="24">AND(ISNUMBER(F153), F153&gt;=1, F153&lt;=5)</f>
        <v>1</v>
      </c>
      <c r="S153" t="b">
        <f t="shared" ref="S153:S216" si="25">AND(ISNUMBER(G153), G153&gt;=SUM(H153,I153))</f>
        <v>1</v>
      </c>
      <c r="T153" t="b">
        <f t="shared" ref="T153:T216" si="26">AND(ISNUMBER(G153), G153&gt;=0)</f>
        <v>1</v>
      </c>
      <c r="U153" t="b">
        <f t="shared" ref="U153:U216" si="27">AND(ISNUMBER(I153), I153&gt;=0, ISNUMBER(H153), H153&gt;=0)</f>
        <v>1</v>
      </c>
      <c r="V153" t="b">
        <f t="shared" ref="V153:V216" si="28">AND(ISNUMBER(J153), J153&gt;=0)</f>
        <v>1</v>
      </c>
      <c r="X153" t="b">
        <f t="shared" ref="X153:X216" ca="1" si="29">OR(M153, AND(P153:V153))</f>
        <v>1</v>
      </c>
    </row>
    <row r="154" spans="2:24" ht="15" x14ac:dyDescent="0.25">
      <c r="B154" t="s">
        <v>462</v>
      </c>
      <c r="C154" t="s">
        <v>463</v>
      </c>
      <c r="D154" t="s">
        <v>464</v>
      </c>
      <c r="E154" t="s">
        <v>77</v>
      </c>
      <c r="F154">
        <v>4</v>
      </c>
      <c r="G154">
        <v>1671.92</v>
      </c>
      <c r="H154">
        <v>1041.92</v>
      </c>
      <c r="I154">
        <v>0</v>
      </c>
      <c r="J154">
        <v>0</v>
      </c>
      <c r="M154" t="b">
        <f t="shared" si="20"/>
        <v>0</v>
      </c>
      <c r="N154" t="b">
        <f t="shared" ca="1" si="21"/>
        <v>0</v>
      </c>
      <c r="O154" t="b">
        <f t="shared" si="22"/>
        <v>1</v>
      </c>
      <c r="P154" t="b">
        <f t="shared" ca="1" si="23"/>
        <v>1</v>
      </c>
      <c r="Q154" t="b">
        <f>TRUE()</f>
        <v>1</v>
      </c>
      <c r="R154" t="b">
        <f t="shared" si="24"/>
        <v>1</v>
      </c>
      <c r="S154" t="b">
        <f t="shared" si="25"/>
        <v>1</v>
      </c>
      <c r="T154" t="b">
        <f t="shared" si="26"/>
        <v>1</v>
      </c>
      <c r="U154" t="b">
        <f t="shared" si="27"/>
        <v>1</v>
      </c>
      <c r="V154" t="b">
        <f t="shared" si="28"/>
        <v>1</v>
      </c>
      <c r="X154" t="b">
        <f t="shared" ca="1" si="29"/>
        <v>1</v>
      </c>
    </row>
    <row r="155" spans="2:24" ht="15" x14ac:dyDescent="0.25">
      <c r="B155" t="s">
        <v>465</v>
      </c>
      <c r="C155" t="s">
        <v>466</v>
      </c>
      <c r="D155" t="s">
        <v>467</v>
      </c>
      <c r="E155" t="s">
        <v>77</v>
      </c>
      <c r="F155">
        <v>4</v>
      </c>
      <c r="G155">
        <v>1411.92</v>
      </c>
      <c r="H155">
        <v>1411.92</v>
      </c>
      <c r="I155">
        <v>0</v>
      </c>
      <c r="J155">
        <v>0</v>
      </c>
      <c r="M155" t="b">
        <f t="shared" si="20"/>
        <v>0</v>
      </c>
      <c r="N155" t="b">
        <f t="shared" ca="1" si="21"/>
        <v>0</v>
      </c>
      <c r="O155" t="b">
        <f t="shared" si="22"/>
        <v>1</v>
      </c>
      <c r="P155" t="b">
        <f t="shared" ca="1" si="23"/>
        <v>1</v>
      </c>
      <c r="Q155" t="b">
        <f>TRUE()</f>
        <v>1</v>
      </c>
      <c r="R155" t="b">
        <f t="shared" si="24"/>
        <v>1</v>
      </c>
      <c r="S155" t="b">
        <f t="shared" si="25"/>
        <v>1</v>
      </c>
      <c r="T155" t="b">
        <f t="shared" si="26"/>
        <v>1</v>
      </c>
      <c r="U155" t="b">
        <f t="shared" si="27"/>
        <v>1</v>
      </c>
      <c r="V155" t="b">
        <f t="shared" si="28"/>
        <v>1</v>
      </c>
      <c r="X155" t="b">
        <f t="shared" ca="1" si="29"/>
        <v>1</v>
      </c>
    </row>
    <row r="156" spans="2:24" ht="15" x14ac:dyDescent="0.25">
      <c r="B156" t="s">
        <v>468</v>
      </c>
      <c r="C156" t="s">
        <v>469</v>
      </c>
      <c r="D156" t="s">
        <v>470</v>
      </c>
      <c r="E156" t="s">
        <v>77</v>
      </c>
      <c r="F156">
        <v>4</v>
      </c>
      <c r="G156">
        <v>1055.26</v>
      </c>
      <c r="H156">
        <v>92.76</v>
      </c>
      <c r="I156">
        <v>0</v>
      </c>
      <c r="J156">
        <v>0</v>
      </c>
      <c r="M156" t="b">
        <f t="shared" si="20"/>
        <v>0</v>
      </c>
      <c r="N156" t="b">
        <f t="shared" ca="1" si="21"/>
        <v>0</v>
      </c>
      <c r="O156" t="b">
        <f t="shared" si="22"/>
        <v>1</v>
      </c>
      <c r="P156" t="b">
        <f t="shared" ca="1" si="23"/>
        <v>1</v>
      </c>
      <c r="Q156" t="b">
        <f>TRUE()</f>
        <v>1</v>
      </c>
      <c r="R156" t="b">
        <f t="shared" si="24"/>
        <v>1</v>
      </c>
      <c r="S156" t="b">
        <f t="shared" si="25"/>
        <v>1</v>
      </c>
      <c r="T156" t="b">
        <f t="shared" si="26"/>
        <v>1</v>
      </c>
      <c r="U156" t="b">
        <f t="shared" si="27"/>
        <v>1</v>
      </c>
      <c r="V156" t="b">
        <f t="shared" si="28"/>
        <v>1</v>
      </c>
      <c r="X156" t="b">
        <f t="shared" ca="1" si="29"/>
        <v>1</v>
      </c>
    </row>
    <row r="157" spans="2:24" ht="15" x14ac:dyDescent="0.25">
      <c r="B157" t="s">
        <v>471</v>
      </c>
      <c r="C157" t="s">
        <v>472</v>
      </c>
      <c r="D157" t="s">
        <v>473</v>
      </c>
      <c r="E157" t="s">
        <v>77</v>
      </c>
      <c r="F157">
        <v>4</v>
      </c>
      <c r="G157">
        <v>964.98</v>
      </c>
      <c r="H157">
        <v>134.35</v>
      </c>
      <c r="I157">
        <v>0</v>
      </c>
      <c r="J157">
        <v>0</v>
      </c>
      <c r="M157" t="b">
        <f t="shared" si="20"/>
        <v>0</v>
      </c>
      <c r="N157" t="b">
        <f t="shared" ca="1" si="21"/>
        <v>0</v>
      </c>
      <c r="O157" t="b">
        <f t="shared" si="22"/>
        <v>1</v>
      </c>
      <c r="P157" t="b">
        <f t="shared" ca="1" si="23"/>
        <v>1</v>
      </c>
      <c r="Q157" t="b">
        <f>TRUE()</f>
        <v>1</v>
      </c>
      <c r="R157" t="b">
        <f t="shared" si="24"/>
        <v>1</v>
      </c>
      <c r="S157" t="b">
        <f t="shared" si="25"/>
        <v>1</v>
      </c>
      <c r="T157" t="b">
        <f t="shared" si="26"/>
        <v>1</v>
      </c>
      <c r="U157" t="b">
        <f t="shared" si="27"/>
        <v>1</v>
      </c>
      <c r="V157" t="b">
        <f t="shared" si="28"/>
        <v>1</v>
      </c>
      <c r="X157" t="b">
        <f t="shared" ca="1" si="29"/>
        <v>1</v>
      </c>
    </row>
    <row r="158" spans="2:24" ht="15" x14ac:dyDescent="0.25">
      <c r="B158" t="s">
        <v>474</v>
      </c>
      <c r="C158" t="s">
        <v>475</v>
      </c>
      <c r="D158" t="s">
        <v>476</v>
      </c>
      <c r="E158" t="s">
        <v>77</v>
      </c>
      <c r="F158">
        <v>4</v>
      </c>
      <c r="G158">
        <v>2422.4299999999998</v>
      </c>
      <c r="H158">
        <v>626.17999999999995</v>
      </c>
      <c r="I158">
        <v>0</v>
      </c>
      <c r="J158">
        <v>143.77000000000001</v>
      </c>
      <c r="M158" t="b">
        <f t="shared" si="20"/>
        <v>0</v>
      </c>
      <c r="N158" t="b">
        <f t="shared" ca="1" si="21"/>
        <v>0</v>
      </c>
      <c r="O158" t="b">
        <f t="shared" si="22"/>
        <v>1</v>
      </c>
      <c r="P158" t="b">
        <f t="shared" ca="1" si="23"/>
        <v>1</v>
      </c>
      <c r="Q158" t="b">
        <f>TRUE()</f>
        <v>1</v>
      </c>
      <c r="R158" t="b">
        <f t="shared" si="24"/>
        <v>1</v>
      </c>
      <c r="S158" t="b">
        <f t="shared" si="25"/>
        <v>1</v>
      </c>
      <c r="T158" t="b">
        <f t="shared" si="26"/>
        <v>1</v>
      </c>
      <c r="U158" t="b">
        <f t="shared" si="27"/>
        <v>1</v>
      </c>
      <c r="V158" t="b">
        <f t="shared" si="28"/>
        <v>1</v>
      </c>
      <c r="X158" t="b">
        <f t="shared" ca="1" si="29"/>
        <v>1</v>
      </c>
    </row>
    <row r="159" spans="2:24" ht="15" x14ac:dyDescent="0.25">
      <c r="B159" t="s">
        <v>477</v>
      </c>
      <c r="C159" t="s">
        <v>478</v>
      </c>
      <c r="D159" t="s">
        <v>479</v>
      </c>
      <c r="E159" t="s">
        <v>77</v>
      </c>
      <c r="F159">
        <v>4</v>
      </c>
      <c r="G159">
        <v>1269.51</v>
      </c>
      <c r="H159">
        <v>473.64</v>
      </c>
      <c r="I159">
        <v>0</v>
      </c>
      <c r="J159">
        <v>0</v>
      </c>
      <c r="M159" t="b">
        <f t="shared" si="20"/>
        <v>0</v>
      </c>
      <c r="N159" t="b">
        <f t="shared" ca="1" si="21"/>
        <v>0</v>
      </c>
      <c r="O159" t="b">
        <f t="shared" si="22"/>
        <v>1</v>
      </c>
      <c r="P159" t="b">
        <f t="shared" ca="1" si="23"/>
        <v>1</v>
      </c>
      <c r="Q159" t="b">
        <f>TRUE()</f>
        <v>1</v>
      </c>
      <c r="R159" t="b">
        <f t="shared" si="24"/>
        <v>1</v>
      </c>
      <c r="S159" t="b">
        <f t="shared" si="25"/>
        <v>1</v>
      </c>
      <c r="T159" t="b">
        <f t="shared" si="26"/>
        <v>1</v>
      </c>
      <c r="U159" t="b">
        <f t="shared" si="27"/>
        <v>1</v>
      </c>
      <c r="V159" t="b">
        <f t="shared" si="28"/>
        <v>1</v>
      </c>
      <c r="X159" t="b">
        <f t="shared" ca="1" si="29"/>
        <v>1</v>
      </c>
    </row>
    <row r="160" spans="2:24" ht="15" x14ac:dyDescent="0.25">
      <c r="B160" t="s">
        <v>480</v>
      </c>
      <c r="C160" t="s">
        <v>481</v>
      </c>
      <c r="D160" t="s">
        <v>482</v>
      </c>
      <c r="E160" t="s">
        <v>77</v>
      </c>
      <c r="F160">
        <v>4</v>
      </c>
      <c r="G160">
        <v>1601.9</v>
      </c>
      <c r="H160">
        <v>289.89999999999998</v>
      </c>
      <c r="I160">
        <v>0</v>
      </c>
      <c r="J160">
        <v>0</v>
      </c>
      <c r="M160" t="b">
        <f t="shared" si="20"/>
        <v>0</v>
      </c>
      <c r="N160" t="b">
        <f t="shared" ca="1" si="21"/>
        <v>0</v>
      </c>
      <c r="O160" t="b">
        <f t="shared" si="22"/>
        <v>1</v>
      </c>
      <c r="P160" t="b">
        <f t="shared" ca="1" si="23"/>
        <v>1</v>
      </c>
      <c r="Q160" t="b">
        <f>TRUE()</f>
        <v>1</v>
      </c>
      <c r="R160" t="b">
        <f t="shared" si="24"/>
        <v>1</v>
      </c>
      <c r="S160" t="b">
        <f t="shared" si="25"/>
        <v>1</v>
      </c>
      <c r="T160" t="b">
        <f t="shared" si="26"/>
        <v>1</v>
      </c>
      <c r="U160" t="b">
        <f t="shared" si="27"/>
        <v>1</v>
      </c>
      <c r="V160" t="b">
        <f t="shared" si="28"/>
        <v>1</v>
      </c>
      <c r="X160" t="b">
        <f t="shared" ca="1" si="29"/>
        <v>1</v>
      </c>
    </row>
    <row r="161" spans="2:24" ht="15" x14ac:dyDescent="0.25">
      <c r="B161" t="s">
        <v>483</v>
      </c>
      <c r="C161" t="s">
        <v>484</v>
      </c>
      <c r="D161" t="s">
        <v>485</v>
      </c>
      <c r="E161" t="s">
        <v>77</v>
      </c>
      <c r="F161">
        <v>4</v>
      </c>
      <c r="G161">
        <v>2788.88</v>
      </c>
      <c r="H161">
        <v>916.13</v>
      </c>
      <c r="I161">
        <v>0</v>
      </c>
      <c r="J161">
        <v>312.60000000000002</v>
      </c>
      <c r="M161" t="b">
        <f t="shared" si="20"/>
        <v>0</v>
      </c>
      <c r="N161" t="b">
        <f t="shared" ca="1" si="21"/>
        <v>0</v>
      </c>
      <c r="O161" t="b">
        <f t="shared" si="22"/>
        <v>1</v>
      </c>
      <c r="P161" t="b">
        <f t="shared" ca="1" si="23"/>
        <v>1</v>
      </c>
      <c r="Q161" t="b">
        <f>TRUE()</f>
        <v>1</v>
      </c>
      <c r="R161" t="b">
        <f t="shared" si="24"/>
        <v>1</v>
      </c>
      <c r="S161" t="b">
        <f t="shared" si="25"/>
        <v>1</v>
      </c>
      <c r="T161" t="b">
        <f t="shared" si="26"/>
        <v>1</v>
      </c>
      <c r="U161" t="b">
        <f t="shared" si="27"/>
        <v>1</v>
      </c>
      <c r="V161" t="b">
        <f t="shared" si="28"/>
        <v>1</v>
      </c>
      <c r="X161" t="b">
        <f t="shared" ca="1" si="29"/>
        <v>1</v>
      </c>
    </row>
    <row r="162" spans="2:24" ht="15" x14ac:dyDescent="0.25">
      <c r="B162" t="s">
        <v>486</v>
      </c>
      <c r="C162" t="s">
        <v>487</v>
      </c>
      <c r="D162" t="s">
        <v>488</v>
      </c>
      <c r="E162" t="s">
        <v>77</v>
      </c>
      <c r="F162">
        <v>4</v>
      </c>
      <c r="G162">
        <v>1152.71</v>
      </c>
      <c r="H162">
        <v>115.96</v>
      </c>
      <c r="I162">
        <v>0</v>
      </c>
      <c r="J162">
        <v>0</v>
      </c>
      <c r="M162" t="b">
        <f t="shared" si="20"/>
        <v>0</v>
      </c>
      <c r="N162" t="b">
        <f t="shared" ca="1" si="21"/>
        <v>0</v>
      </c>
      <c r="O162" t="b">
        <f t="shared" si="22"/>
        <v>1</v>
      </c>
      <c r="P162" t="b">
        <f t="shared" ca="1" si="23"/>
        <v>1</v>
      </c>
      <c r="Q162" t="b">
        <f>TRUE()</f>
        <v>1</v>
      </c>
      <c r="R162" t="b">
        <f t="shared" si="24"/>
        <v>1</v>
      </c>
      <c r="S162" t="b">
        <f t="shared" si="25"/>
        <v>1</v>
      </c>
      <c r="T162" t="b">
        <f t="shared" si="26"/>
        <v>1</v>
      </c>
      <c r="U162" t="b">
        <f t="shared" si="27"/>
        <v>1</v>
      </c>
      <c r="V162" t="b">
        <f t="shared" si="28"/>
        <v>1</v>
      </c>
      <c r="X162" t="b">
        <f t="shared" ca="1" si="29"/>
        <v>1</v>
      </c>
    </row>
    <row r="163" spans="2:24" ht="15" x14ac:dyDescent="0.25">
      <c r="B163" t="s">
        <v>489</v>
      </c>
      <c r="C163" t="s">
        <v>490</v>
      </c>
      <c r="D163" t="s">
        <v>491</v>
      </c>
      <c r="E163" t="s">
        <v>77</v>
      </c>
      <c r="F163">
        <v>4</v>
      </c>
      <c r="G163">
        <v>2153.8200000000002</v>
      </c>
      <c r="H163">
        <v>1697.32</v>
      </c>
      <c r="I163">
        <v>0</v>
      </c>
      <c r="J163">
        <v>142.16</v>
      </c>
      <c r="M163" t="b">
        <f t="shared" si="20"/>
        <v>0</v>
      </c>
      <c r="N163" t="b">
        <f t="shared" ca="1" si="21"/>
        <v>0</v>
      </c>
      <c r="O163" t="b">
        <f t="shared" si="22"/>
        <v>1</v>
      </c>
      <c r="P163" t="b">
        <f t="shared" ca="1" si="23"/>
        <v>1</v>
      </c>
      <c r="Q163" t="b">
        <f>TRUE()</f>
        <v>1</v>
      </c>
      <c r="R163" t="b">
        <f t="shared" si="24"/>
        <v>1</v>
      </c>
      <c r="S163" t="b">
        <f t="shared" si="25"/>
        <v>1</v>
      </c>
      <c r="T163" t="b">
        <f t="shared" si="26"/>
        <v>1</v>
      </c>
      <c r="U163" t="b">
        <f t="shared" si="27"/>
        <v>1</v>
      </c>
      <c r="V163" t="b">
        <f t="shared" si="28"/>
        <v>1</v>
      </c>
      <c r="X163" t="b">
        <f t="shared" ca="1" si="29"/>
        <v>1</v>
      </c>
    </row>
    <row r="164" spans="2:24" ht="15" x14ac:dyDescent="0.25">
      <c r="B164" t="s">
        <v>492</v>
      </c>
      <c r="C164" t="s">
        <v>493</v>
      </c>
      <c r="D164" t="s">
        <v>494</v>
      </c>
      <c r="E164" t="s">
        <v>77</v>
      </c>
      <c r="F164">
        <v>4</v>
      </c>
      <c r="G164">
        <v>1394.13</v>
      </c>
      <c r="H164">
        <v>347.88</v>
      </c>
      <c r="I164">
        <v>0</v>
      </c>
      <c r="J164">
        <v>0</v>
      </c>
      <c r="M164" t="b">
        <f t="shared" si="20"/>
        <v>0</v>
      </c>
      <c r="N164" t="b">
        <f t="shared" ca="1" si="21"/>
        <v>0</v>
      </c>
      <c r="O164" t="b">
        <f t="shared" si="22"/>
        <v>1</v>
      </c>
      <c r="P164" t="b">
        <f t="shared" ca="1" si="23"/>
        <v>1</v>
      </c>
      <c r="Q164" t="b">
        <f>TRUE()</f>
        <v>1</v>
      </c>
      <c r="R164" t="b">
        <f t="shared" si="24"/>
        <v>1</v>
      </c>
      <c r="S164" t="b">
        <f t="shared" si="25"/>
        <v>1</v>
      </c>
      <c r="T164" t="b">
        <f t="shared" si="26"/>
        <v>1</v>
      </c>
      <c r="U164" t="b">
        <f t="shared" si="27"/>
        <v>1</v>
      </c>
      <c r="V164" t="b">
        <f t="shared" si="28"/>
        <v>1</v>
      </c>
      <c r="X164" t="b">
        <f t="shared" ca="1" si="29"/>
        <v>1</v>
      </c>
    </row>
    <row r="165" spans="2:24" ht="15" x14ac:dyDescent="0.25">
      <c r="B165" t="s">
        <v>495</v>
      </c>
      <c r="C165" t="s">
        <v>496</v>
      </c>
      <c r="D165" t="s">
        <v>497</v>
      </c>
      <c r="E165" t="s">
        <v>77</v>
      </c>
      <c r="F165">
        <v>4</v>
      </c>
      <c r="G165">
        <v>1087.6099999999999</v>
      </c>
      <c r="H165">
        <v>605.73</v>
      </c>
      <c r="I165">
        <v>0</v>
      </c>
      <c r="J165">
        <v>0</v>
      </c>
      <c r="M165" t="b">
        <f t="shared" si="20"/>
        <v>0</v>
      </c>
      <c r="N165" t="b">
        <f t="shared" ca="1" si="21"/>
        <v>0</v>
      </c>
      <c r="O165" t="b">
        <f t="shared" si="22"/>
        <v>1</v>
      </c>
      <c r="P165" t="b">
        <f t="shared" ca="1" si="23"/>
        <v>1</v>
      </c>
      <c r="Q165" t="b">
        <f>TRUE()</f>
        <v>1</v>
      </c>
      <c r="R165" t="b">
        <f t="shared" si="24"/>
        <v>1</v>
      </c>
      <c r="S165" t="b">
        <f t="shared" si="25"/>
        <v>1</v>
      </c>
      <c r="T165" t="b">
        <f t="shared" si="26"/>
        <v>1</v>
      </c>
      <c r="U165" t="b">
        <f t="shared" si="27"/>
        <v>1</v>
      </c>
      <c r="V165" t="b">
        <f t="shared" si="28"/>
        <v>1</v>
      </c>
      <c r="X165" t="b">
        <f t="shared" ca="1" si="29"/>
        <v>1</v>
      </c>
    </row>
    <row r="166" spans="2:24" ht="15" x14ac:dyDescent="0.25">
      <c r="B166" t="s">
        <v>498</v>
      </c>
      <c r="C166" t="s">
        <v>499</v>
      </c>
      <c r="D166" t="s">
        <v>500</v>
      </c>
      <c r="E166" t="s">
        <v>77</v>
      </c>
      <c r="F166">
        <v>4</v>
      </c>
      <c r="G166">
        <v>1491.92</v>
      </c>
      <c r="H166">
        <v>231.92</v>
      </c>
      <c r="I166">
        <v>0</v>
      </c>
      <c r="J166">
        <v>0</v>
      </c>
      <c r="M166" t="b">
        <f t="shared" si="20"/>
        <v>0</v>
      </c>
      <c r="N166" t="b">
        <f t="shared" ca="1" si="21"/>
        <v>0</v>
      </c>
      <c r="O166" t="b">
        <f t="shared" si="22"/>
        <v>1</v>
      </c>
      <c r="P166" t="b">
        <f t="shared" ca="1" si="23"/>
        <v>1</v>
      </c>
      <c r="Q166" t="b">
        <f>TRUE()</f>
        <v>1</v>
      </c>
      <c r="R166" t="b">
        <f t="shared" si="24"/>
        <v>1</v>
      </c>
      <c r="S166" t="b">
        <f t="shared" si="25"/>
        <v>1</v>
      </c>
      <c r="T166" t="b">
        <f t="shared" si="26"/>
        <v>1</v>
      </c>
      <c r="U166" t="b">
        <f t="shared" si="27"/>
        <v>1</v>
      </c>
      <c r="V166" t="b">
        <f t="shared" si="28"/>
        <v>1</v>
      </c>
      <c r="X166" t="b">
        <f t="shared" ca="1" si="29"/>
        <v>1</v>
      </c>
    </row>
    <row r="167" spans="2:24" ht="15" x14ac:dyDescent="0.25">
      <c r="B167" t="s">
        <v>501</v>
      </c>
      <c r="C167" t="s">
        <v>502</v>
      </c>
      <c r="D167" t="s">
        <v>503</v>
      </c>
      <c r="E167" t="s">
        <v>77</v>
      </c>
      <c r="F167">
        <v>4</v>
      </c>
      <c r="G167">
        <v>1131.1600000000001</v>
      </c>
      <c r="H167">
        <v>442.16</v>
      </c>
      <c r="I167">
        <v>0</v>
      </c>
      <c r="J167">
        <v>0</v>
      </c>
      <c r="M167" t="b">
        <f t="shared" si="20"/>
        <v>0</v>
      </c>
      <c r="N167" t="b">
        <f t="shared" ca="1" si="21"/>
        <v>0</v>
      </c>
      <c r="O167" t="b">
        <f t="shared" si="22"/>
        <v>1</v>
      </c>
      <c r="P167" t="b">
        <f t="shared" ca="1" si="23"/>
        <v>1</v>
      </c>
      <c r="Q167" t="b">
        <f>TRUE()</f>
        <v>1</v>
      </c>
      <c r="R167" t="b">
        <f t="shared" si="24"/>
        <v>1</v>
      </c>
      <c r="S167" t="b">
        <f t="shared" si="25"/>
        <v>1</v>
      </c>
      <c r="T167" t="b">
        <f t="shared" si="26"/>
        <v>1</v>
      </c>
      <c r="U167" t="b">
        <f t="shared" si="27"/>
        <v>1</v>
      </c>
      <c r="V167" t="b">
        <f t="shared" si="28"/>
        <v>1</v>
      </c>
      <c r="X167" t="b">
        <f t="shared" ca="1" si="29"/>
        <v>1</v>
      </c>
    </row>
    <row r="168" spans="2:24" ht="15" x14ac:dyDescent="0.25">
      <c r="B168" t="s">
        <v>504</v>
      </c>
      <c r="C168" t="s">
        <v>505</v>
      </c>
      <c r="D168" t="s">
        <v>506</v>
      </c>
      <c r="E168" t="s">
        <v>77</v>
      </c>
      <c r="F168">
        <v>4</v>
      </c>
      <c r="G168">
        <v>1370.19</v>
      </c>
      <c r="H168">
        <v>173.94</v>
      </c>
      <c r="I168">
        <v>0</v>
      </c>
      <c r="J168">
        <v>0</v>
      </c>
      <c r="M168" t="b">
        <f t="shared" si="20"/>
        <v>0</v>
      </c>
      <c r="N168" t="b">
        <f t="shared" ca="1" si="21"/>
        <v>0</v>
      </c>
      <c r="O168" t="b">
        <f t="shared" si="22"/>
        <v>1</v>
      </c>
      <c r="P168" t="b">
        <f t="shared" ca="1" si="23"/>
        <v>1</v>
      </c>
      <c r="Q168" t="b">
        <f>TRUE()</f>
        <v>1</v>
      </c>
      <c r="R168" t="b">
        <f t="shared" si="24"/>
        <v>1</v>
      </c>
      <c r="S168" t="b">
        <f t="shared" si="25"/>
        <v>1</v>
      </c>
      <c r="T168" t="b">
        <f t="shared" si="26"/>
        <v>1</v>
      </c>
      <c r="U168" t="b">
        <f t="shared" si="27"/>
        <v>1</v>
      </c>
      <c r="V168" t="b">
        <f t="shared" si="28"/>
        <v>1</v>
      </c>
      <c r="X168" t="b">
        <f t="shared" ca="1" si="29"/>
        <v>1</v>
      </c>
    </row>
    <row r="169" spans="2:24" ht="15" x14ac:dyDescent="0.25">
      <c r="B169" t="s">
        <v>507</v>
      </c>
      <c r="C169" t="s">
        <v>508</v>
      </c>
      <c r="D169" t="s">
        <v>509</v>
      </c>
      <c r="E169" t="s">
        <v>77</v>
      </c>
      <c r="F169">
        <v>4</v>
      </c>
      <c r="G169">
        <v>1045.01</v>
      </c>
      <c r="H169">
        <v>385.26</v>
      </c>
      <c r="I169">
        <v>0</v>
      </c>
      <c r="J169">
        <v>0</v>
      </c>
      <c r="M169" t="b">
        <f t="shared" si="20"/>
        <v>0</v>
      </c>
      <c r="N169" t="b">
        <f t="shared" ca="1" si="21"/>
        <v>0</v>
      </c>
      <c r="O169" t="b">
        <f t="shared" si="22"/>
        <v>1</v>
      </c>
      <c r="P169" t="b">
        <f t="shared" ca="1" si="23"/>
        <v>1</v>
      </c>
      <c r="Q169" t="b">
        <f>TRUE()</f>
        <v>1</v>
      </c>
      <c r="R169" t="b">
        <f t="shared" si="24"/>
        <v>1</v>
      </c>
      <c r="S169" t="b">
        <f t="shared" si="25"/>
        <v>1</v>
      </c>
      <c r="T169" t="b">
        <f t="shared" si="26"/>
        <v>1</v>
      </c>
      <c r="U169" t="b">
        <f t="shared" si="27"/>
        <v>1</v>
      </c>
      <c r="V169" t="b">
        <f t="shared" si="28"/>
        <v>1</v>
      </c>
      <c r="X169" t="b">
        <f t="shared" ca="1" si="29"/>
        <v>1</v>
      </c>
    </row>
    <row r="170" spans="2:24" ht="15" x14ac:dyDescent="0.25">
      <c r="B170" t="s">
        <v>510</v>
      </c>
      <c r="C170" t="s">
        <v>511</v>
      </c>
      <c r="D170" t="s">
        <v>512</v>
      </c>
      <c r="E170" t="s">
        <v>77</v>
      </c>
      <c r="F170">
        <v>4</v>
      </c>
      <c r="G170">
        <v>1758.55</v>
      </c>
      <c r="H170">
        <v>719.42</v>
      </c>
      <c r="I170">
        <v>0</v>
      </c>
      <c r="J170">
        <v>0</v>
      </c>
      <c r="M170" t="b">
        <f t="shared" si="20"/>
        <v>0</v>
      </c>
      <c r="N170" t="b">
        <f t="shared" ca="1" si="21"/>
        <v>0</v>
      </c>
      <c r="O170" t="b">
        <f t="shared" si="22"/>
        <v>1</v>
      </c>
      <c r="P170" t="b">
        <f t="shared" ca="1" si="23"/>
        <v>1</v>
      </c>
      <c r="Q170" t="b">
        <f>TRUE()</f>
        <v>1</v>
      </c>
      <c r="R170" t="b">
        <f t="shared" si="24"/>
        <v>1</v>
      </c>
      <c r="S170" t="b">
        <f t="shared" si="25"/>
        <v>1</v>
      </c>
      <c r="T170" t="b">
        <f t="shared" si="26"/>
        <v>1</v>
      </c>
      <c r="U170" t="b">
        <f t="shared" si="27"/>
        <v>1</v>
      </c>
      <c r="V170" t="b">
        <f t="shared" si="28"/>
        <v>1</v>
      </c>
      <c r="X170" t="b">
        <f t="shared" ca="1" si="29"/>
        <v>1</v>
      </c>
    </row>
    <row r="171" spans="2:24" ht="15" x14ac:dyDescent="0.25">
      <c r="B171" t="s">
        <v>513</v>
      </c>
      <c r="C171" t="s">
        <v>514</v>
      </c>
      <c r="D171" t="s">
        <v>515</v>
      </c>
      <c r="E171" t="s">
        <v>77</v>
      </c>
      <c r="F171">
        <v>4</v>
      </c>
      <c r="G171">
        <v>827.26</v>
      </c>
      <c r="H171">
        <v>92.76</v>
      </c>
      <c r="I171">
        <v>0</v>
      </c>
      <c r="J171">
        <v>0</v>
      </c>
      <c r="M171" t="b">
        <f t="shared" si="20"/>
        <v>0</v>
      </c>
      <c r="N171" t="b">
        <f t="shared" ca="1" si="21"/>
        <v>0</v>
      </c>
      <c r="O171" t="b">
        <f t="shared" si="22"/>
        <v>1</v>
      </c>
      <c r="P171" t="b">
        <f t="shared" ca="1" si="23"/>
        <v>1</v>
      </c>
      <c r="Q171" t="b">
        <f>TRUE()</f>
        <v>1</v>
      </c>
      <c r="R171" t="b">
        <f t="shared" si="24"/>
        <v>1</v>
      </c>
      <c r="S171" t="b">
        <f t="shared" si="25"/>
        <v>1</v>
      </c>
      <c r="T171" t="b">
        <f t="shared" si="26"/>
        <v>1</v>
      </c>
      <c r="U171" t="b">
        <f t="shared" si="27"/>
        <v>1</v>
      </c>
      <c r="V171" t="b">
        <f t="shared" si="28"/>
        <v>1</v>
      </c>
      <c r="X171" t="b">
        <f t="shared" ca="1" si="29"/>
        <v>1</v>
      </c>
    </row>
    <row r="172" spans="2:24" ht="15" x14ac:dyDescent="0.25">
      <c r="B172" t="s">
        <v>516</v>
      </c>
      <c r="C172" t="s">
        <v>517</v>
      </c>
      <c r="D172" t="s">
        <v>518</v>
      </c>
      <c r="E172" t="s">
        <v>77</v>
      </c>
      <c r="F172">
        <v>4</v>
      </c>
      <c r="G172">
        <v>3791.04</v>
      </c>
      <c r="H172">
        <v>983.04</v>
      </c>
      <c r="I172">
        <v>0</v>
      </c>
      <c r="J172">
        <v>563.14</v>
      </c>
      <c r="M172" t="b">
        <f t="shared" si="20"/>
        <v>0</v>
      </c>
      <c r="N172" t="b">
        <f t="shared" ca="1" si="21"/>
        <v>0</v>
      </c>
      <c r="O172" t="b">
        <f t="shared" si="22"/>
        <v>1</v>
      </c>
      <c r="P172" t="b">
        <f t="shared" ca="1" si="23"/>
        <v>1</v>
      </c>
      <c r="Q172" t="b">
        <f>TRUE()</f>
        <v>1</v>
      </c>
      <c r="R172" t="b">
        <f t="shared" si="24"/>
        <v>1</v>
      </c>
      <c r="S172" t="b">
        <f t="shared" si="25"/>
        <v>1</v>
      </c>
      <c r="T172" t="b">
        <f t="shared" si="26"/>
        <v>1</v>
      </c>
      <c r="U172" t="b">
        <f t="shared" si="27"/>
        <v>1</v>
      </c>
      <c r="V172" t="b">
        <f t="shared" si="28"/>
        <v>1</v>
      </c>
      <c r="X172" t="b">
        <f t="shared" ca="1" si="29"/>
        <v>1</v>
      </c>
    </row>
    <row r="173" spans="2:24" ht="15" x14ac:dyDescent="0.25">
      <c r="B173" t="s">
        <v>519</v>
      </c>
      <c r="C173" t="s">
        <v>520</v>
      </c>
      <c r="D173" t="s">
        <v>521</v>
      </c>
      <c r="E173" t="s">
        <v>77</v>
      </c>
      <c r="F173">
        <v>4</v>
      </c>
      <c r="G173">
        <v>1228.54</v>
      </c>
      <c r="H173">
        <v>549.54</v>
      </c>
      <c r="I173">
        <v>0</v>
      </c>
      <c r="J173">
        <v>0</v>
      </c>
      <c r="M173" t="b">
        <f t="shared" si="20"/>
        <v>0</v>
      </c>
      <c r="N173" t="b">
        <f t="shared" ca="1" si="21"/>
        <v>0</v>
      </c>
      <c r="O173" t="b">
        <f t="shared" si="22"/>
        <v>1</v>
      </c>
      <c r="P173" t="b">
        <f t="shared" ca="1" si="23"/>
        <v>1</v>
      </c>
      <c r="Q173" t="b">
        <f>TRUE()</f>
        <v>1</v>
      </c>
      <c r="R173" t="b">
        <f t="shared" si="24"/>
        <v>1</v>
      </c>
      <c r="S173" t="b">
        <f t="shared" si="25"/>
        <v>1</v>
      </c>
      <c r="T173" t="b">
        <f t="shared" si="26"/>
        <v>1</v>
      </c>
      <c r="U173" t="b">
        <f t="shared" si="27"/>
        <v>1</v>
      </c>
      <c r="V173" t="b">
        <f t="shared" si="28"/>
        <v>1</v>
      </c>
      <c r="X173" t="b">
        <f t="shared" ca="1" si="29"/>
        <v>1</v>
      </c>
    </row>
    <row r="174" spans="2:24" ht="15" x14ac:dyDescent="0.25">
      <c r="B174" t="s">
        <v>522</v>
      </c>
      <c r="C174" t="s">
        <v>523</v>
      </c>
      <c r="D174" t="s">
        <v>524</v>
      </c>
      <c r="E174" t="s">
        <v>77</v>
      </c>
      <c r="F174">
        <v>4</v>
      </c>
      <c r="G174">
        <v>2247.2399999999998</v>
      </c>
      <c r="H174">
        <v>1021.73</v>
      </c>
      <c r="I174">
        <v>0</v>
      </c>
      <c r="J174">
        <v>86.48</v>
      </c>
      <c r="M174" t="b">
        <f t="shared" si="20"/>
        <v>0</v>
      </c>
      <c r="N174" t="b">
        <f t="shared" ca="1" si="21"/>
        <v>0</v>
      </c>
      <c r="O174" t="b">
        <f t="shared" si="22"/>
        <v>1</v>
      </c>
      <c r="P174" t="b">
        <f t="shared" ca="1" si="23"/>
        <v>1</v>
      </c>
      <c r="Q174" t="b">
        <f>TRUE()</f>
        <v>1</v>
      </c>
      <c r="R174" t="b">
        <f t="shared" si="24"/>
        <v>1</v>
      </c>
      <c r="S174" t="b">
        <f t="shared" si="25"/>
        <v>1</v>
      </c>
      <c r="T174" t="b">
        <f t="shared" si="26"/>
        <v>1</v>
      </c>
      <c r="U174" t="b">
        <f t="shared" si="27"/>
        <v>1</v>
      </c>
      <c r="V174" t="b">
        <f t="shared" si="28"/>
        <v>1</v>
      </c>
      <c r="X174" t="b">
        <f t="shared" ca="1" si="29"/>
        <v>1</v>
      </c>
    </row>
    <row r="175" spans="2:24" ht="15" x14ac:dyDescent="0.25">
      <c r="B175" t="s">
        <v>525</v>
      </c>
      <c r="C175" t="s">
        <v>526</v>
      </c>
      <c r="D175" t="s">
        <v>527</v>
      </c>
      <c r="E175" t="s">
        <v>77</v>
      </c>
      <c r="F175">
        <v>4</v>
      </c>
      <c r="G175">
        <v>2907.89</v>
      </c>
      <c r="H175">
        <v>964.14</v>
      </c>
      <c r="I175">
        <v>0</v>
      </c>
      <c r="J175">
        <v>342.35</v>
      </c>
      <c r="M175" t="b">
        <f t="shared" si="20"/>
        <v>0</v>
      </c>
      <c r="N175" t="b">
        <f t="shared" ca="1" si="21"/>
        <v>0</v>
      </c>
      <c r="O175" t="b">
        <f t="shared" si="22"/>
        <v>1</v>
      </c>
      <c r="P175" t="b">
        <f t="shared" ca="1" si="23"/>
        <v>1</v>
      </c>
      <c r="Q175" t="b">
        <f>TRUE()</f>
        <v>1</v>
      </c>
      <c r="R175" t="b">
        <f t="shared" si="24"/>
        <v>1</v>
      </c>
      <c r="S175" t="b">
        <f t="shared" si="25"/>
        <v>1</v>
      </c>
      <c r="T175" t="b">
        <f t="shared" si="26"/>
        <v>1</v>
      </c>
      <c r="U175" t="b">
        <f t="shared" si="27"/>
        <v>1</v>
      </c>
      <c r="V175" t="b">
        <f t="shared" si="28"/>
        <v>1</v>
      </c>
      <c r="X175" t="b">
        <f t="shared" ca="1" si="29"/>
        <v>1</v>
      </c>
    </row>
    <row r="176" spans="2:24" ht="15" x14ac:dyDescent="0.25">
      <c r="B176" t="s">
        <v>528</v>
      </c>
      <c r="C176" t="s">
        <v>529</v>
      </c>
      <c r="D176" t="s">
        <v>530</v>
      </c>
      <c r="E176" t="s">
        <v>77</v>
      </c>
      <c r="F176">
        <v>4</v>
      </c>
      <c r="G176">
        <v>1962.85</v>
      </c>
      <c r="H176">
        <v>623.6</v>
      </c>
      <c r="I176">
        <v>0</v>
      </c>
      <c r="J176">
        <v>132.29</v>
      </c>
      <c r="M176" t="b">
        <f t="shared" si="20"/>
        <v>0</v>
      </c>
      <c r="N176" t="b">
        <f t="shared" ca="1" si="21"/>
        <v>0</v>
      </c>
      <c r="O176" t="b">
        <f t="shared" si="22"/>
        <v>1</v>
      </c>
      <c r="P176" t="b">
        <f t="shared" ca="1" si="23"/>
        <v>1</v>
      </c>
      <c r="Q176" t="b">
        <f>TRUE()</f>
        <v>1</v>
      </c>
      <c r="R176" t="b">
        <f t="shared" si="24"/>
        <v>1</v>
      </c>
      <c r="S176" t="b">
        <f t="shared" si="25"/>
        <v>1</v>
      </c>
      <c r="T176" t="b">
        <f t="shared" si="26"/>
        <v>1</v>
      </c>
      <c r="U176" t="b">
        <f t="shared" si="27"/>
        <v>1</v>
      </c>
      <c r="V176" t="b">
        <f t="shared" si="28"/>
        <v>1</v>
      </c>
      <c r="X176" t="b">
        <f t="shared" ca="1" si="29"/>
        <v>1</v>
      </c>
    </row>
    <row r="177" spans="2:24" ht="15" x14ac:dyDescent="0.25">
      <c r="B177" t="s">
        <v>531</v>
      </c>
      <c r="C177" t="s">
        <v>532</v>
      </c>
      <c r="D177" t="s">
        <v>533</v>
      </c>
      <c r="E177" t="s">
        <v>77</v>
      </c>
      <c r="F177">
        <v>4</v>
      </c>
      <c r="G177">
        <v>2667.84</v>
      </c>
      <c r="H177">
        <v>463.84</v>
      </c>
      <c r="I177">
        <v>0</v>
      </c>
      <c r="J177">
        <v>282.33999999999997</v>
      </c>
      <c r="M177" t="b">
        <f t="shared" si="20"/>
        <v>0</v>
      </c>
      <c r="N177" t="b">
        <f t="shared" ca="1" si="21"/>
        <v>0</v>
      </c>
      <c r="O177" t="b">
        <f t="shared" si="22"/>
        <v>1</v>
      </c>
      <c r="P177" t="b">
        <f t="shared" ca="1" si="23"/>
        <v>1</v>
      </c>
      <c r="Q177" t="b">
        <f>TRUE()</f>
        <v>1</v>
      </c>
      <c r="R177" t="b">
        <f t="shared" si="24"/>
        <v>1</v>
      </c>
      <c r="S177" t="b">
        <f t="shared" si="25"/>
        <v>1</v>
      </c>
      <c r="T177" t="b">
        <f t="shared" si="26"/>
        <v>1</v>
      </c>
      <c r="U177" t="b">
        <f t="shared" si="27"/>
        <v>1</v>
      </c>
      <c r="V177" t="b">
        <f t="shared" si="28"/>
        <v>1</v>
      </c>
      <c r="X177" t="b">
        <f t="shared" ca="1" si="29"/>
        <v>1</v>
      </c>
    </row>
    <row r="178" spans="2:24" ht="15" x14ac:dyDescent="0.25">
      <c r="B178" t="s">
        <v>534</v>
      </c>
      <c r="C178" t="s">
        <v>535</v>
      </c>
      <c r="D178" t="s">
        <v>536</v>
      </c>
      <c r="E178" t="s">
        <v>77</v>
      </c>
      <c r="F178">
        <v>4</v>
      </c>
      <c r="G178">
        <v>1775.38</v>
      </c>
      <c r="H178">
        <v>347.88</v>
      </c>
      <c r="I178">
        <v>0</v>
      </c>
      <c r="J178">
        <v>0</v>
      </c>
      <c r="M178" t="b">
        <f t="shared" si="20"/>
        <v>0</v>
      </c>
      <c r="N178" t="b">
        <f t="shared" ca="1" si="21"/>
        <v>0</v>
      </c>
      <c r="O178" t="b">
        <f t="shared" si="22"/>
        <v>1</v>
      </c>
      <c r="P178" t="b">
        <f t="shared" ca="1" si="23"/>
        <v>1</v>
      </c>
      <c r="Q178" t="b">
        <f>TRUE()</f>
        <v>1</v>
      </c>
      <c r="R178" t="b">
        <f t="shared" si="24"/>
        <v>1</v>
      </c>
      <c r="S178" t="b">
        <f t="shared" si="25"/>
        <v>1</v>
      </c>
      <c r="T178" t="b">
        <f t="shared" si="26"/>
        <v>1</v>
      </c>
      <c r="U178" t="b">
        <f t="shared" si="27"/>
        <v>1</v>
      </c>
      <c r="V178" t="b">
        <f t="shared" si="28"/>
        <v>1</v>
      </c>
      <c r="X178" t="b">
        <f t="shared" ca="1" si="29"/>
        <v>1</v>
      </c>
    </row>
    <row r="179" spans="2:24" ht="15" x14ac:dyDescent="0.25">
      <c r="B179" t="s">
        <v>537</v>
      </c>
      <c r="C179" t="s">
        <v>538</v>
      </c>
      <c r="D179" t="s">
        <v>539</v>
      </c>
      <c r="E179" t="s">
        <v>77</v>
      </c>
      <c r="F179">
        <v>4</v>
      </c>
      <c r="G179">
        <v>1424.96</v>
      </c>
      <c r="H179">
        <v>115.96</v>
      </c>
      <c r="I179">
        <v>0</v>
      </c>
      <c r="J179">
        <v>0</v>
      </c>
      <c r="M179" t="b">
        <f t="shared" si="20"/>
        <v>0</v>
      </c>
      <c r="N179" t="b">
        <f t="shared" ca="1" si="21"/>
        <v>0</v>
      </c>
      <c r="O179" t="b">
        <f t="shared" si="22"/>
        <v>1</v>
      </c>
      <c r="P179" t="b">
        <f t="shared" ca="1" si="23"/>
        <v>1</v>
      </c>
      <c r="Q179" t="b">
        <f>TRUE()</f>
        <v>1</v>
      </c>
      <c r="R179" t="b">
        <f t="shared" si="24"/>
        <v>1</v>
      </c>
      <c r="S179" t="b">
        <f t="shared" si="25"/>
        <v>1</v>
      </c>
      <c r="T179" t="b">
        <f t="shared" si="26"/>
        <v>1</v>
      </c>
      <c r="U179" t="b">
        <f t="shared" si="27"/>
        <v>1</v>
      </c>
      <c r="V179" t="b">
        <f t="shared" si="28"/>
        <v>1</v>
      </c>
      <c r="X179" t="b">
        <f t="shared" ca="1" si="29"/>
        <v>1</v>
      </c>
    </row>
    <row r="180" spans="2:24" ht="15" x14ac:dyDescent="0.25">
      <c r="B180" t="s">
        <v>540</v>
      </c>
      <c r="C180" t="s">
        <v>541</v>
      </c>
      <c r="D180" t="s">
        <v>542</v>
      </c>
      <c r="E180" t="s">
        <v>77</v>
      </c>
      <c r="F180">
        <v>4</v>
      </c>
      <c r="G180">
        <v>1202.71</v>
      </c>
      <c r="H180">
        <v>419.71</v>
      </c>
      <c r="I180">
        <v>0</v>
      </c>
      <c r="J180">
        <v>0</v>
      </c>
      <c r="M180" t="b">
        <f t="shared" si="20"/>
        <v>0</v>
      </c>
      <c r="N180" t="b">
        <f t="shared" ca="1" si="21"/>
        <v>0</v>
      </c>
      <c r="O180" t="b">
        <f t="shared" si="22"/>
        <v>1</v>
      </c>
      <c r="P180" t="b">
        <f t="shared" ca="1" si="23"/>
        <v>1</v>
      </c>
      <c r="Q180" t="b">
        <f>TRUE()</f>
        <v>1</v>
      </c>
      <c r="R180" t="b">
        <f t="shared" si="24"/>
        <v>1</v>
      </c>
      <c r="S180" t="b">
        <f t="shared" si="25"/>
        <v>1</v>
      </c>
      <c r="T180" t="b">
        <f t="shared" si="26"/>
        <v>1</v>
      </c>
      <c r="U180" t="b">
        <f t="shared" si="27"/>
        <v>1</v>
      </c>
      <c r="V180" t="b">
        <f t="shared" si="28"/>
        <v>1</v>
      </c>
      <c r="X180" t="b">
        <f t="shared" ca="1" si="29"/>
        <v>1</v>
      </c>
    </row>
    <row r="181" spans="2:24" ht="15" x14ac:dyDescent="0.25">
      <c r="B181" t="s">
        <v>543</v>
      </c>
      <c r="C181" t="s">
        <v>544</v>
      </c>
      <c r="D181" t="s">
        <v>545</v>
      </c>
      <c r="E181" t="s">
        <v>77</v>
      </c>
      <c r="F181">
        <v>4</v>
      </c>
      <c r="G181">
        <v>4123.2</v>
      </c>
      <c r="H181">
        <v>869.7</v>
      </c>
      <c r="I181">
        <v>0</v>
      </c>
      <c r="J181">
        <v>646.17999999999995</v>
      </c>
      <c r="M181" t="b">
        <f t="shared" si="20"/>
        <v>0</v>
      </c>
      <c r="N181" t="b">
        <f t="shared" ca="1" si="21"/>
        <v>0</v>
      </c>
      <c r="O181" t="b">
        <f t="shared" si="22"/>
        <v>1</v>
      </c>
      <c r="P181" t="b">
        <f t="shared" ca="1" si="23"/>
        <v>1</v>
      </c>
      <c r="Q181" t="b">
        <f>TRUE()</f>
        <v>1</v>
      </c>
      <c r="R181" t="b">
        <f t="shared" si="24"/>
        <v>1</v>
      </c>
      <c r="S181" t="b">
        <f t="shared" si="25"/>
        <v>1</v>
      </c>
      <c r="T181" t="b">
        <f t="shared" si="26"/>
        <v>1</v>
      </c>
      <c r="U181" t="b">
        <f t="shared" si="27"/>
        <v>1</v>
      </c>
      <c r="V181" t="b">
        <f t="shared" si="28"/>
        <v>1</v>
      </c>
      <c r="X181" t="b">
        <f t="shared" ca="1" si="29"/>
        <v>1</v>
      </c>
    </row>
    <row r="182" spans="2:24" ht="15" x14ac:dyDescent="0.25">
      <c r="B182" t="s">
        <v>546</v>
      </c>
      <c r="C182" t="s">
        <v>547</v>
      </c>
      <c r="D182" t="s">
        <v>548</v>
      </c>
      <c r="E182" t="s">
        <v>77</v>
      </c>
      <c r="F182">
        <v>4</v>
      </c>
      <c r="G182">
        <v>2195.6999999999998</v>
      </c>
      <c r="H182">
        <v>869.7</v>
      </c>
      <c r="I182">
        <v>0</v>
      </c>
      <c r="J182">
        <v>138.4</v>
      </c>
      <c r="M182" t="b">
        <f t="shared" si="20"/>
        <v>0</v>
      </c>
      <c r="N182" t="b">
        <f t="shared" ca="1" si="21"/>
        <v>0</v>
      </c>
      <c r="O182" t="b">
        <f t="shared" si="22"/>
        <v>1</v>
      </c>
      <c r="P182" t="b">
        <f t="shared" ca="1" si="23"/>
        <v>1</v>
      </c>
      <c r="Q182" t="b">
        <f>TRUE()</f>
        <v>1</v>
      </c>
      <c r="R182" t="b">
        <f t="shared" si="24"/>
        <v>1</v>
      </c>
      <c r="S182" t="b">
        <f t="shared" si="25"/>
        <v>1</v>
      </c>
      <c r="T182" t="b">
        <f t="shared" si="26"/>
        <v>1</v>
      </c>
      <c r="U182" t="b">
        <f t="shared" si="27"/>
        <v>1</v>
      </c>
      <c r="V182" t="b">
        <f t="shared" si="28"/>
        <v>1</v>
      </c>
      <c r="X182" t="b">
        <f t="shared" ca="1" si="29"/>
        <v>1</v>
      </c>
    </row>
    <row r="183" spans="2:24" ht="15" x14ac:dyDescent="0.25">
      <c r="B183" t="s">
        <v>549</v>
      </c>
      <c r="C183" t="s">
        <v>550</v>
      </c>
      <c r="D183" t="s">
        <v>551</v>
      </c>
      <c r="E183" t="s">
        <v>77</v>
      </c>
      <c r="F183">
        <v>4</v>
      </c>
      <c r="G183">
        <v>1545.58</v>
      </c>
      <c r="H183">
        <v>69.58</v>
      </c>
      <c r="I183">
        <v>0</v>
      </c>
      <c r="J183">
        <v>0</v>
      </c>
      <c r="M183" t="b">
        <f t="shared" si="20"/>
        <v>0</v>
      </c>
      <c r="N183" t="b">
        <f t="shared" ca="1" si="21"/>
        <v>0</v>
      </c>
      <c r="O183" t="b">
        <f t="shared" si="22"/>
        <v>1</v>
      </c>
      <c r="P183" t="b">
        <f t="shared" ca="1" si="23"/>
        <v>1</v>
      </c>
      <c r="Q183" t="b">
        <f>TRUE()</f>
        <v>1</v>
      </c>
      <c r="R183" t="b">
        <f t="shared" si="24"/>
        <v>1</v>
      </c>
      <c r="S183" t="b">
        <f t="shared" si="25"/>
        <v>1</v>
      </c>
      <c r="T183" t="b">
        <f t="shared" si="26"/>
        <v>1</v>
      </c>
      <c r="U183" t="b">
        <f t="shared" si="27"/>
        <v>1</v>
      </c>
      <c r="V183" t="b">
        <f t="shared" si="28"/>
        <v>1</v>
      </c>
      <c r="X183" t="b">
        <f t="shared" ca="1" si="29"/>
        <v>1</v>
      </c>
    </row>
    <row r="184" spans="2:24" ht="15" x14ac:dyDescent="0.25">
      <c r="B184" t="s">
        <v>552</v>
      </c>
      <c r="C184" t="s">
        <v>553</v>
      </c>
      <c r="D184" t="s">
        <v>554</v>
      </c>
      <c r="E184" t="s">
        <v>77</v>
      </c>
      <c r="F184">
        <v>4</v>
      </c>
      <c r="G184">
        <v>2837.7</v>
      </c>
      <c r="H184">
        <v>869.7</v>
      </c>
      <c r="I184">
        <v>0</v>
      </c>
      <c r="J184">
        <v>324.8</v>
      </c>
      <c r="M184" t="b">
        <f t="shared" si="20"/>
        <v>0</v>
      </c>
      <c r="N184" t="b">
        <f t="shared" ca="1" si="21"/>
        <v>0</v>
      </c>
      <c r="O184" t="b">
        <f t="shared" si="22"/>
        <v>1</v>
      </c>
      <c r="P184" t="b">
        <f t="shared" ca="1" si="23"/>
        <v>1</v>
      </c>
      <c r="Q184" t="b">
        <f>TRUE()</f>
        <v>1</v>
      </c>
      <c r="R184" t="b">
        <f t="shared" si="24"/>
        <v>1</v>
      </c>
      <c r="S184" t="b">
        <f t="shared" si="25"/>
        <v>1</v>
      </c>
      <c r="T184" t="b">
        <f t="shared" si="26"/>
        <v>1</v>
      </c>
      <c r="U184" t="b">
        <f t="shared" si="27"/>
        <v>1</v>
      </c>
      <c r="V184" t="b">
        <f t="shared" si="28"/>
        <v>1</v>
      </c>
      <c r="X184" t="b">
        <f t="shared" ca="1" si="29"/>
        <v>1</v>
      </c>
    </row>
    <row r="185" spans="2:24" ht="15" x14ac:dyDescent="0.25">
      <c r="B185" t="s">
        <v>555</v>
      </c>
      <c r="C185" t="s">
        <v>556</v>
      </c>
      <c r="D185" t="s">
        <v>557</v>
      </c>
      <c r="E185" t="s">
        <v>77</v>
      </c>
      <c r="F185">
        <v>4</v>
      </c>
      <c r="G185">
        <v>1295.1600000000001</v>
      </c>
      <c r="H185">
        <v>139.16</v>
      </c>
      <c r="I185">
        <v>0</v>
      </c>
      <c r="J185">
        <v>0</v>
      </c>
      <c r="M185" t="b">
        <f t="shared" si="20"/>
        <v>0</v>
      </c>
      <c r="N185" t="b">
        <f t="shared" ca="1" si="21"/>
        <v>0</v>
      </c>
      <c r="O185" t="b">
        <f t="shared" si="22"/>
        <v>1</v>
      </c>
      <c r="P185" t="b">
        <f t="shared" ca="1" si="23"/>
        <v>1</v>
      </c>
      <c r="Q185" t="b">
        <f>TRUE()</f>
        <v>1</v>
      </c>
      <c r="R185" t="b">
        <f t="shared" si="24"/>
        <v>1</v>
      </c>
      <c r="S185" t="b">
        <f t="shared" si="25"/>
        <v>1</v>
      </c>
      <c r="T185" t="b">
        <f t="shared" si="26"/>
        <v>1</v>
      </c>
      <c r="U185" t="b">
        <f t="shared" si="27"/>
        <v>1</v>
      </c>
      <c r="V185" t="b">
        <f t="shared" si="28"/>
        <v>1</v>
      </c>
      <c r="X185" t="b">
        <f t="shared" ca="1" si="29"/>
        <v>1</v>
      </c>
    </row>
    <row r="186" spans="2:24" ht="15" x14ac:dyDescent="0.25">
      <c r="B186" t="s">
        <v>558</v>
      </c>
      <c r="C186" t="s">
        <v>559</v>
      </c>
      <c r="D186" t="s">
        <v>560</v>
      </c>
      <c r="E186" t="s">
        <v>77</v>
      </c>
      <c r="F186">
        <v>4</v>
      </c>
      <c r="G186">
        <v>1689.9</v>
      </c>
      <c r="H186">
        <v>289.89999999999998</v>
      </c>
      <c r="I186">
        <v>0</v>
      </c>
      <c r="J186">
        <v>0</v>
      </c>
      <c r="M186" t="b">
        <f t="shared" si="20"/>
        <v>0</v>
      </c>
      <c r="N186" t="b">
        <f t="shared" ca="1" si="21"/>
        <v>0</v>
      </c>
      <c r="O186" t="b">
        <f t="shared" si="22"/>
        <v>1</v>
      </c>
      <c r="P186" t="b">
        <f t="shared" ca="1" si="23"/>
        <v>1</v>
      </c>
      <c r="Q186" t="b">
        <f>TRUE()</f>
        <v>1</v>
      </c>
      <c r="R186" t="b">
        <f t="shared" si="24"/>
        <v>1</v>
      </c>
      <c r="S186" t="b">
        <f t="shared" si="25"/>
        <v>1</v>
      </c>
      <c r="T186" t="b">
        <f t="shared" si="26"/>
        <v>1</v>
      </c>
      <c r="U186" t="b">
        <f t="shared" si="27"/>
        <v>1</v>
      </c>
      <c r="V186" t="b">
        <f t="shared" si="28"/>
        <v>1</v>
      </c>
      <c r="X186" t="b">
        <f t="shared" ca="1" si="29"/>
        <v>1</v>
      </c>
    </row>
    <row r="187" spans="2:24" ht="15" x14ac:dyDescent="0.25">
      <c r="B187" t="s">
        <v>561</v>
      </c>
      <c r="C187" t="s">
        <v>562</v>
      </c>
      <c r="D187" t="s">
        <v>563</v>
      </c>
      <c r="E187" t="s">
        <v>77</v>
      </c>
      <c r="F187">
        <v>4</v>
      </c>
      <c r="G187">
        <v>3772.14</v>
      </c>
      <c r="H187">
        <v>1043.6400000000001</v>
      </c>
      <c r="I187">
        <v>0</v>
      </c>
      <c r="J187">
        <v>558.41</v>
      </c>
      <c r="M187" t="b">
        <f t="shared" si="20"/>
        <v>0</v>
      </c>
      <c r="N187" t="b">
        <f t="shared" ca="1" si="21"/>
        <v>0</v>
      </c>
      <c r="O187" t="b">
        <f t="shared" si="22"/>
        <v>1</v>
      </c>
      <c r="P187" t="b">
        <f t="shared" ca="1" si="23"/>
        <v>1</v>
      </c>
      <c r="Q187" t="b">
        <f>TRUE()</f>
        <v>1</v>
      </c>
      <c r="R187" t="b">
        <f t="shared" si="24"/>
        <v>1</v>
      </c>
      <c r="S187" t="b">
        <f t="shared" si="25"/>
        <v>1</v>
      </c>
      <c r="T187" t="b">
        <f t="shared" si="26"/>
        <v>1</v>
      </c>
      <c r="U187" t="b">
        <f t="shared" si="27"/>
        <v>1</v>
      </c>
      <c r="V187" t="b">
        <f t="shared" si="28"/>
        <v>1</v>
      </c>
      <c r="X187" t="b">
        <f t="shared" ca="1" si="29"/>
        <v>1</v>
      </c>
    </row>
    <row r="188" spans="2:24" ht="15" x14ac:dyDescent="0.25">
      <c r="B188" t="s">
        <v>564</v>
      </c>
      <c r="C188" t="s">
        <v>565</v>
      </c>
      <c r="D188" t="s">
        <v>566</v>
      </c>
      <c r="E188" t="s">
        <v>77</v>
      </c>
      <c r="F188">
        <v>4</v>
      </c>
      <c r="G188">
        <v>4480.6400000000003</v>
      </c>
      <c r="H188">
        <v>1733.76</v>
      </c>
      <c r="I188">
        <v>0</v>
      </c>
      <c r="J188">
        <v>735.54</v>
      </c>
      <c r="M188" t="b">
        <f t="shared" si="20"/>
        <v>0</v>
      </c>
      <c r="N188" t="b">
        <f t="shared" ca="1" si="21"/>
        <v>0</v>
      </c>
      <c r="O188" t="b">
        <f t="shared" si="22"/>
        <v>1</v>
      </c>
      <c r="P188" t="b">
        <f t="shared" ca="1" si="23"/>
        <v>1</v>
      </c>
      <c r="Q188" t="b">
        <f>TRUE()</f>
        <v>1</v>
      </c>
      <c r="R188" t="b">
        <f t="shared" si="24"/>
        <v>1</v>
      </c>
      <c r="S188" t="b">
        <f t="shared" si="25"/>
        <v>1</v>
      </c>
      <c r="T188" t="b">
        <f t="shared" si="26"/>
        <v>1</v>
      </c>
      <c r="U188" t="b">
        <f t="shared" si="27"/>
        <v>1</v>
      </c>
      <c r="V188" t="b">
        <f t="shared" si="28"/>
        <v>1</v>
      </c>
      <c r="X188" t="b">
        <f t="shared" ca="1" si="29"/>
        <v>1</v>
      </c>
    </row>
    <row r="189" spans="2:24" ht="15" x14ac:dyDescent="0.25">
      <c r="B189" t="s">
        <v>567</v>
      </c>
      <c r="C189" t="s">
        <v>568</v>
      </c>
      <c r="D189" t="s">
        <v>569</v>
      </c>
      <c r="E189" t="s">
        <v>77</v>
      </c>
      <c r="F189">
        <v>4</v>
      </c>
      <c r="G189">
        <v>1205.5999999999999</v>
      </c>
      <c r="H189">
        <v>736.6</v>
      </c>
      <c r="I189">
        <v>0</v>
      </c>
      <c r="J189">
        <v>0</v>
      </c>
      <c r="M189" t="b">
        <f t="shared" si="20"/>
        <v>0</v>
      </c>
      <c r="N189" t="b">
        <f t="shared" ca="1" si="21"/>
        <v>0</v>
      </c>
      <c r="O189" t="b">
        <f t="shared" si="22"/>
        <v>1</v>
      </c>
      <c r="P189" t="b">
        <f t="shared" ca="1" si="23"/>
        <v>1</v>
      </c>
      <c r="Q189" t="b">
        <f>TRUE()</f>
        <v>1</v>
      </c>
      <c r="R189" t="b">
        <f t="shared" si="24"/>
        <v>1</v>
      </c>
      <c r="S189" t="b">
        <f t="shared" si="25"/>
        <v>1</v>
      </c>
      <c r="T189" t="b">
        <f t="shared" si="26"/>
        <v>1</v>
      </c>
      <c r="U189" t="b">
        <f t="shared" si="27"/>
        <v>1</v>
      </c>
      <c r="V189" t="b">
        <f t="shared" si="28"/>
        <v>1</v>
      </c>
      <c r="X189" t="b">
        <f t="shared" ca="1" si="29"/>
        <v>1</v>
      </c>
    </row>
    <row r="190" spans="2:24" ht="15" x14ac:dyDescent="0.25">
      <c r="B190" t="s">
        <v>570</v>
      </c>
      <c r="C190" t="s">
        <v>571</v>
      </c>
      <c r="D190" t="s">
        <v>572</v>
      </c>
      <c r="E190" t="s">
        <v>77</v>
      </c>
      <c r="F190">
        <v>4</v>
      </c>
      <c r="G190">
        <v>1014.18</v>
      </c>
      <c r="H190">
        <v>52.18</v>
      </c>
      <c r="I190">
        <v>0</v>
      </c>
      <c r="J190">
        <v>0</v>
      </c>
      <c r="M190" t="b">
        <f t="shared" si="20"/>
        <v>0</v>
      </c>
      <c r="N190" t="b">
        <f t="shared" ca="1" si="21"/>
        <v>0</v>
      </c>
      <c r="O190" t="b">
        <f t="shared" si="22"/>
        <v>1</v>
      </c>
      <c r="P190" t="b">
        <f t="shared" ca="1" si="23"/>
        <v>1</v>
      </c>
      <c r="Q190" t="b">
        <f>TRUE()</f>
        <v>1</v>
      </c>
      <c r="R190" t="b">
        <f t="shared" si="24"/>
        <v>1</v>
      </c>
      <c r="S190" t="b">
        <f t="shared" si="25"/>
        <v>1</v>
      </c>
      <c r="T190" t="b">
        <f t="shared" si="26"/>
        <v>1</v>
      </c>
      <c r="U190" t="b">
        <f t="shared" si="27"/>
        <v>1</v>
      </c>
      <c r="V190" t="b">
        <f t="shared" si="28"/>
        <v>1</v>
      </c>
      <c r="X190" t="b">
        <f t="shared" ca="1" si="29"/>
        <v>1</v>
      </c>
    </row>
    <row r="191" spans="2:24" ht="15" x14ac:dyDescent="0.25">
      <c r="B191" t="s">
        <v>573</v>
      </c>
      <c r="C191" t="s">
        <v>574</v>
      </c>
      <c r="D191" t="s">
        <v>575</v>
      </c>
      <c r="E191" t="s">
        <v>77</v>
      </c>
      <c r="F191">
        <v>4</v>
      </c>
      <c r="G191">
        <v>1024.8699999999999</v>
      </c>
      <c r="H191">
        <v>107.74</v>
      </c>
      <c r="I191">
        <v>0</v>
      </c>
      <c r="J191">
        <v>0</v>
      </c>
      <c r="M191" t="b">
        <f t="shared" si="20"/>
        <v>0</v>
      </c>
      <c r="N191" t="b">
        <f t="shared" ca="1" si="21"/>
        <v>0</v>
      </c>
      <c r="O191" t="b">
        <f t="shared" si="22"/>
        <v>1</v>
      </c>
      <c r="P191" t="b">
        <f t="shared" ca="1" si="23"/>
        <v>1</v>
      </c>
      <c r="Q191" t="b">
        <f>TRUE()</f>
        <v>1</v>
      </c>
      <c r="R191" t="b">
        <f t="shared" si="24"/>
        <v>1</v>
      </c>
      <c r="S191" t="b">
        <f t="shared" si="25"/>
        <v>1</v>
      </c>
      <c r="T191" t="b">
        <f t="shared" si="26"/>
        <v>1</v>
      </c>
      <c r="U191" t="b">
        <f t="shared" si="27"/>
        <v>1</v>
      </c>
      <c r="V191" t="b">
        <f t="shared" si="28"/>
        <v>1</v>
      </c>
      <c r="X191" t="b">
        <f t="shared" ca="1" si="29"/>
        <v>1</v>
      </c>
    </row>
    <row r="192" spans="2:24" ht="15" x14ac:dyDescent="0.25">
      <c r="B192" t="s">
        <v>576</v>
      </c>
      <c r="C192" t="s">
        <v>577</v>
      </c>
      <c r="D192" t="s">
        <v>578</v>
      </c>
      <c r="E192" t="s">
        <v>77</v>
      </c>
      <c r="F192">
        <v>4</v>
      </c>
      <c r="G192">
        <v>1072.24</v>
      </c>
      <c r="H192">
        <v>244.24</v>
      </c>
      <c r="I192">
        <v>0</v>
      </c>
      <c r="J192">
        <v>0</v>
      </c>
      <c r="M192" t="b">
        <f t="shared" si="20"/>
        <v>0</v>
      </c>
      <c r="N192" t="b">
        <f t="shared" ca="1" si="21"/>
        <v>0</v>
      </c>
      <c r="O192" t="b">
        <f t="shared" si="22"/>
        <v>1</v>
      </c>
      <c r="P192" t="b">
        <f t="shared" ca="1" si="23"/>
        <v>1</v>
      </c>
      <c r="Q192" t="b">
        <f>TRUE()</f>
        <v>1</v>
      </c>
      <c r="R192" t="b">
        <f t="shared" si="24"/>
        <v>1</v>
      </c>
      <c r="S192" t="b">
        <f t="shared" si="25"/>
        <v>1</v>
      </c>
      <c r="T192" t="b">
        <f t="shared" si="26"/>
        <v>1</v>
      </c>
      <c r="U192" t="b">
        <f t="shared" si="27"/>
        <v>1</v>
      </c>
      <c r="V192" t="b">
        <f t="shared" si="28"/>
        <v>1</v>
      </c>
      <c r="X192" t="b">
        <f t="shared" ca="1" si="29"/>
        <v>1</v>
      </c>
    </row>
    <row r="193" spans="2:24" ht="15" x14ac:dyDescent="0.25">
      <c r="B193" t="s">
        <v>579</v>
      </c>
      <c r="C193" t="s">
        <v>580</v>
      </c>
      <c r="D193" t="s">
        <v>581</v>
      </c>
      <c r="E193" t="s">
        <v>77</v>
      </c>
      <c r="F193">
        <v>4</v>
      </c>
      <c r="G193">
        <v>519.98</v>
      </c>
      <c r="H193">
        <v>57.98</v>
      </c>
      <c r="I193">
        <v>0</v>
      </c>
      <c r="J193">
        <v>0</v>
      </c>
      <c r="M193" t="b">
        <f t="shared" si="20"/>
        <v>0</v>
      </c>
      <c r="N193" t="b">
        <f t="shared" ca="1" si="21"/>
        <v>0</v>
      </c>
      <c r="O193" t="b">
        <f t="shared" si="22"/>
        <v>1</v>
      </c>
      <c r="P193" t="b">
        <f t="shared" ca="1" si="23"/>
        <v>1</v>
      </c>
      <c r="Q193" t="b">
        <f>TRUE()</f>
        <v>1</v>
      </c>
      <c r="R193" t="b">
        <f t="shared" si="24"/>
        <v>1</v>
      </c>
      <c r="S193" t="b">
        <f t="shared" si="25"/>
        <v>1</v>
      </c>
      <c r="T193" t="b">
        <f t="shared" si="26"/>
        <v>1</v>
      </c>
      <c r="U193" t="b">
        <f t="shared" si="27"/>
        <v>1</v>
      </c>
      <c r="V193" t="b">
        <f t="shared" si="28"/>
        <v>1</v>
      </c>
      <c r="X193" t="b">
        <f t="shared" ca="1" si="29"/>
        <v>1</v>
      </c>
    </row>
    <row r="194" spans="2:24" ht="15" x14ac:dyDescent="0.25">
      <c r="B194" t="s">
        <v>582</v>
      </c>
      <c r="C194" t="s">
        <v>583</v>
      </c>
      <c r="D194" t="s">
        <v>584</v>
      </c>
      <c r="E194" t="s">
        <v>77</v>
      </c>
      <c r="F194">
        <v>4</v>
      </c>
      <c r="G194">
        <v>992.13</v>
      </c>
      <c r="H194">
        <v>348.63</v>
      </c>
      <c r="I194">
        <v>0</v>
      </c>
      <c r="J194">
        <v>0</v>
      </c>
      <c r="M194" t="b">
        <f t="shared" si="20"/>
        <v>0</v>
      </c>
      <c r="N194" t="b">
        <f t="shared" ca="1" si="21"/>
        <v>0</v>
      </c>
      <c r="O194" t="b">
        <f t="shared" si="22"/>
        <v>1</v>
      </c>
      <c r="P194" t="b">
        <f t="shared" ca="1" si="23"/>
        <v>1</v>
      </c>
      <c r="Q194" t="b">
        <f>TRUE()</f>
        <v>1</v>
      </c>
      <c r="R194" t="b">
        <f t="shared" si="24"/>
        <v>1</v>
      </c>
      <c r="S194" t="b">
        <f t="shared" si="25"/>
        <v>1</v>
      </c>
      <c r="T194" t="b">
        <f t="shared" si="26"/>
        <v>1</v>
      </c>
      <c r="U194" t="b">
        <f t="shared" si="27"/>
        <v>1</v>
      </c>
      <c r="V194" t="b">
        <f t="shared" si="28"/>
        <v>1</v>
      </c>
      <c r="X194" t="b">
        <f t="shared" ca="1" si="29"/>
        <v>1</v>
      </c>
    </row>
    <row r="195" spans="2:24" ht="15" x14ac:dyDescent="0.25">
      <c r="B195" t="s">
        <v>585</v>
      </c>
      <c r="C195" t="s">
        <v>586</v>
      </c>
      <c r="D195" t="s">
        <v>587</v>
      </c>
      <c r="E195" t="s">
        <v>77</v>
      </c>
      <c r="F195">
        <v>4</v>
      </c>
      <c r="G195">
        <v>1355.88</v>
      </c>
      <c r="H195">
        <v>291.94</v>
      </c>
      <c r="I195">
        <v>0</v>
      </c>
      <c r="J195">
        <v>0</v>
      </c>
      <c r="M195" t="b">
        <f t="shared" si="20"/>
        <v>0</v>
      </c>
      <c r="N195" t="b">
        <f t="shared" ca="1" si="21"/>
        <v>0</v>
      </c>
      <c r="O195" t="b">
        <f t="shared" si="22"/>
        <v>1</v>
      </c>
      <c r="P195" t="b">
        <f t="shared" ca="1" si="23"/>
        <v>1</v>
      </c>
      <c r="Q195" t="b">
        <f>TRUE()</f>
        <v>1</v>
      </c>
      <c r="R195" t="b">
        <f t="shared" si="24"/>
        <v>1</v>
      </c>
      <c r="S195" t="b">
        <f t="shared" si="25"/>
        <v>1</v>
      </c>
      <c r="T195" t="b">
        <f t="shared" si="26"/>
        <v>1</v>
      </c>
      <c r="U195" t="b">
        <f t="shared" si="27"/>
        <v>1</v>
      </c>
      <c r="V195" t="b">
        <f t="shared" si="28"/>
        <v>1</v>
      </c>
      <c r="X195" t="b">
        <f t="shared" ca="1" si="29"/>
        <v>1</v>
      </c>
    </row>
    <row r="196" spans="2:24" ht="15" x14ac:dyDescent="0.25">
      <c r="B196" t="s">
        <v>588</v>
      </c>
      <c r="C196" t="s">
        <v>589</v>
      </c>
      <c r="D196" t="s">
        <v>590</v>
      </c>
      <c r="E196" t="s">
        <v>77</v>
      </c>
      <c r="F196">
        <v>4</v>
      </c>
      <c r="G196">
        <v>1713.07</v>
      </c>
      <c r="H196">
        <v>643.07000000000005</v>
      </c>
      <c r="I196">
        <v>0</v>
      </c>
      <c r="J196">
        <v>123.35</v>
      </c>
      <c r="M196" t="b">
        <f t="shared" si="20"/>
        <v>0</v>
      </c>
      <c r="N196" t="b">
        <f t="shared" ca="1" si="21"/>
        <v>0</v>
      </c>
      <c r="O196" t="b">
        <f t="shared" si="22"/>
        <v>1</v>
      </c>
      <c r="P196" t="b">
        <f t="shared" ca="1" si="23"/>
        <v>1</v>
      </c>
      <c r="Q196" t="b">
        <f>TRUE()</f>
        <v>1</v>
      </c>
      <c r="R196" t="b">
        <f t="shared" si="24"/>
        <v>1</v>
      </c>
      <c r="S196" t="b">
        <f t="shared" si="25"/>
        <v>1</v>
      </c>
      <c r="T196" t="b">
        <f t="shared" si="26"/>
        <v>1</v>
      </c>
      <c r="U196" t="b">
        <f t="shared" si="27"/>
        <v>1</v>
      </c>
      <c r="V196" t="b">
        <f t="shared" si="28"/>
        <v>1</v>
      </c>
      <c r="X196" t="b">
        <f t="shared" ca="1" si="29"/>
        <v>1</v>
      </c>
    </row>
    <row r="197" spans="2:24" ht="15" x14ac:dyDescent="0.25">
      <c r="B197" t="s">
        <v>591</v>
      </c>
      <c r="C197" t="s">
        <v>592</v>
      </c>
      <c r="D197" t="s">
        <v>593</v>
      </c>
      <c r="E197" t="s">
        <v>77</v>
      </c>
      <c r="F197">
        <v>4</v>
      </c>
      <c r="G197">
        <v>667.83</v>
      </c>
      <c r="H197">
        <v>156.33000000000001</v>
      </c>
      <c r="I197">
        <v>0</v>
      </c>
      <c r="J197">
        <v>0</v>
      </c>
      <c r="M197" t="b">
        <f t="shared" si="20"/>
        <v>0</v>
      </c>
      <c r="N197" t="b">
        <f t="shared" ca="1" si="21"/>
        <v>0</v>
      </c>
      <c r="O197" t="b">
        <f t="shared" si="22"/>
        <v>1</v>
      </c>
      <c r="P197" t="b">
        <f t="shared" ca="1" si="23"/>
        <v>1</v>
      </c>
      <c r="Q197" t="b">
        <f>TRUE()</f>
        <v>1</v>
      </c>
      <c r="R197" t="b">
        <f t="shared" si="24"/>
        <v>1</v>
      </c>
      <c r="S197" t="b">
        <f t="shared" si="25"/>
        <v>1</v>
      </c>
      <c r="T197" t="b">
        <f t="shared" si="26"/>
        <v>1</v>
      </c>
      <c r="U197" t="b">
        <f t="shared" si="27"/>
        <v>1</v>
      </c>
      <c r="V197" t="b">
        <f t="shared" si="28"/>
        <v>1</v>
      </c>
      <c r="X197" t="b">
        <f t="shared" ca="1" si="29"/>
        <v>1</v>
      </c>
    </row>
    <row r="198" spans="2:24" ht="15" x14ac:dyDescent="0.25">
      <c r="B198" t="s">
        <v>594</v>
      </c>
      <c r="C198" t="s">
        <v>595</v>
      </c>
      <c r="D198" t="s">
        <v>596</v>
      </c>
      <c r="E198" t="s">
        <v>77</v>
      </c>
      <c r="F198">
        <v>4</v>
      </c>
      <c r="G198">
        <v>1108.25</v>
      </c>
      <c r="H198">
        <v>124.25</v>
      </c>
      <c r="I198">
        <v>0</v>
      </c>
      <c r="J198">
        <v>0</v>
      </c>
      <c r="M198" t="b">
        <f t="shared" si="20"/>
        <v>0</v>
      </c>
      <c r="N198" t="b">
        <f t="shared" ca="1" si="21"/>
        <v>0</v>
      </c>
      <c r="O198" t="b">
        <f t="shared" si="22"/>
        <v>1</v>
      </c>
      <c r="P198" t="b">
        <f t="shared" ca="1" si="23"/>
        <v>1</v>
      </c>
      <c r="Q198" t="b">
        <f>TRUE()</f>
        <v>1</v>
      </c>
      <c r="R198" t="b">
        <f t="shared" si="24"/>
        <v>1</v>
      </c>
      <c r="S198" t="b">
        <f t="shared" si="25"/>
        <v>1</v>
      </c>
      <c r="T198" t="b">
        <f t="shared" si="26"/>
        <v>1</v>
      </c>
      <c r="U198" t="b">
        <f t="shared" si="27"/>
        <v>1</v>
      </c>
      <c r="V198" t="b">
        <f t="shared" si="28"/>
        <v>1</v>
      </c>
      <c r="X198" t="b">
        <f t="shared" ca="1" si="29"/>
        <v>1</v>
      </c>
    </row>
    <row r="199" spans="2:24" ht="15" x14ac:dyDescent="0.25">
      <c r="B199" t="s">
        <v>597</v>
      </c>
      <c r="C199" t="s">
        <v>598</v>
      </c>
      <c r="D199" t="s">
        <v>599</v>
      </c>
      <c r="E199" t="s">
        <v>77</v>
      </c>
      <c r="F199">
        <v>4</v>
      </c>
      <c r="G199">
        <v>1156.8599999999999</v>
      </c>
      <c r="H199">
        <v>274.86</v>
      </c>
      <c r="I199">
        <v>0</v>
      </c>
      <c r="J199">
        <v>0</v>
      </c>
      <c r="M199" t="b">
        <f t="shared" si="20"/>
        <v>0</v>
      </c>
      <c r="N199" t="b">
        <f t="shared" ca="1" si="21"/>
        <v>0</v>
      </c>
      <c r="O199" t="b">
        <f t="shared" si="22"/>
        <v>1</v>
      </c>
      <c r="P199" t="b">
        <f t="shared" ca="1" si="23"/>
        <v>1</v>
      </c>
      <c r="Q199" t="b">
        <f>TRUE()</f>
        <v>1</v>
      </c>
      <c r="R199" t="b">
        <f t="shared" si="24"/>
        <v>1</v>
      </c>
      <c r="S199" t="b">
        <f t="shared" si="25"/>
        <v>1</v>
      </c>
      <c r="T199" t="b">
        <f t="shared" si="26"/>
        <v>1</v>
      </c>
      <c r="U199" t="b">
        <f t="shared" si="27"/>
        <v>1</v>
      </c>
      <c r="V199" t="b">
        <f t="shared" si="28"/>
        <v>1</v>
      </c>
      <c r="X199" t="b">
        <f t="shared" ca="1" si="29"/>
        <v>1</v>
      </c>
    </row>
    <row r="200" spans="2:24" ht="15" x14ac:dyDescent="0.25">
      <c r="B200" t="s">
        <v>600</v>
      </c>
      <c r="C200" t="s">
        <v>601</v>
      </c>
      <c r="D200" t="s">
        <v>602</v>
      </c>
      <c r="E200" t="s">
        <v>77</v>
      </c>
      <c r="F200">
        <v>4</v>
      </c>
      <c r="G200">
        <v>1216.26</v>
      </c>
      <c r="H200">
        <v>124.25</v>
      </c>
      <c r="I200">
        <v>0</v>
      </c>
      <c r="J200">
        <v>0</v>
      </c>
      <c r="M200" t="b">
        <f t="shared" si="20"/>
        <v>0</v>
      </c>
      <c r="N200" t="b">
        <f t="shared" ca="1" si="21"/>
        <v>0</v>
      </c>
      <c r="O200" t="b">
        <f t="shared" si="22"/>
        <v>1</v>
      </c>
      <c r="P200" t="b">
        <f t="shared" ca="1" si="23"/>
        <v>1</v>
      </c>
      <c r="Q200" t="b">
        <f>TRUE()</f>
        <v>1</v>
      </c>
      <c r="R200" t="b">
        <f t="shared" si="24"/>
        <v>1</v>
      </c>
      <c r="S200" t="b">
        <f t="shared" si="25"/>
        <v>1</v>
      </c>
      <c r="T200" t="b">
        <f t="shared" si="26"/>
        <v>1</v>
      </c>
      <c r="U200" t="b">
        <f t="shared" si="27"/>
        <v>1</v>
      </c>
      <c r="V200" t="b">
        <f t="shared" si="28"/>
        <v>1</v>
      </c>
      <c r="X200" t="b">
        <f t="shared" ca="1" si="29"/>
        <v>1</v>
      </c>
    </row>
    <row r="201" spans="2:24" ht="15" x14ac:dyDescent="0.25">
      <c r="B201" t="s">
        <v>603</v>
      </c>
      <c r="C201" t="s">
        <v>604</v>
      </c>
      <c r="D201" t="s">
        <v>605</v>
      </c>
      <c r="E201" t="s">
        <v>77</v>
      </c>
      <c r="F201">
        <v>4</v>
      </c>
      <c r="G201">
        <v>939.98</v>
      </c>
      <c r="H201">
        <v>57.98</v>
      </c>
      <c r="I201">
        <v>0</v>
      </c>
      <c r="J201">
        <v>0</v>
      </c>
      <c r="M201" t="b">
        <f t="shared" si="20"/>
        <v>0</v>
      </c>
      <c r="N201" t="b">
        <f t="shared" ca="1" si="21"/>
        <v>0</v>
      </c>
      <c r="O201" t="b">
        <f t="shared" si="22"/>
        <v>1</v>
      </c>
      <c r="P201" t="b">
        <f t="shared" ca="1" si="23"/>
        <v>1</v>
      </c>
      <c r="Q201" t="b">
        <f>TRUE()</f>
        <v>1</v>
      </c>
      <c r="R201" t="b">
        <f t="shared" si="24"/>
        <v>1</v>
      </c>
      <c r="S201" t="b">
        <f t="shared" si="25"/>
        <v>1</v>
      </c>
      <c r="T201" t="b">
        <f t="shared" si="26"/>
        <v>1</v>
      </c>
      <c r="U201" t="b">
        <f t="shared" si="27"/>
        <v>1</v>
      </c>
      <c r="V201" t="b">
        <f t="shared" si="28"/>
        <v>1</v>
      </c>
      <c r="X201" t="b">
        <f t="shared" ca="1" si="29"/>
        <v>1</v>
      </c>
    </row>
    <row r="202" spans="2:24" ht="15" x14ac:dyDescent="0.25">
      <c r="B202" t="s">
        <v>606</v>
      </c>
      <c r="C202" t="s">
        <v>607</v>
      </c>
      <c r="D202" t="s">
        <v>608</v>
      </c>
      <c r="E202" t="s">
        <v>77</v>
      </c>
      <c r="F202">
        <v>4</v>
      </c>
      <c r="G202">
        <v>1019.98</v>
      </c>
      <c r="H202">
        <v>67.98</v>
      </c>
      <c r="I202">
        <v>0</v>
      </c>
      <c r="J202">
        <v>0</v>
      </c>
      <c r="M202" t="b">
        <f t="shared" si="20"/>
        <v>0</v>
      </c>
      <c r="N202" t="b">
        <f t="shared" ca="1" si="21"/>
        <v>0</v>
      </c>
      <c r="O202" t="b">
        <f t="shared" si="22"/>
        <v>1</v>
      </c>
      <c r="P202" t="b">
        <f t="shared" ca="1" si="23"/>
        <v>1</v>
      </c>
      <c r="Q202" t="b">
        <f>TRUE()</f>
        <v>1</v>
      </c>
      <c r="R202" t="b">
        <f t="shared" si="24"/>
        <v>1</v>
      </c>
      <c r="S202" t="b">
        <f t="shared" si="25"/>
        <v>1</v>
      </c>
      <c r="T202" t="b">
        <f t="shared" si="26"/>
        <v>1</v>
      </c>
      <c r="U202" t="b">
        <f t="shared" si="27"/>
        <v>1</v>
      </c>
      <c r="V202" t="b">
        <f t="shared" si="28"/>
        <v>1</v>
      </c>
      <c r="X202" t="b">
        <f t="shared" ca="1" si="29"/>
        <v>1</v>
      </c>
    </row>
    <row r="203" spans="2:24" ht="15" x14ac:dyDescent="0.25">
      <c r="B203" t="s">
        <v>609</v>
      </c>
      <c r="C203" t="s">
        <v>610</v>
      </c>
      <c r="D203" t="s">
        <v>611</v>
      </c>
      <c r="E203" t="s">
        <v>77</v>
      </c>
      <c r="F203">
        <v>4</v>
      </c>
      <c r="G203">
        <v>1050.23</v>
      </c>
      <c r="H203">
        <v>57.98</v>
      </c>
      <c r="I203">
        <v>0</v>
      </c>
      <c r="J203">
        <v>0</v>
      </c>
      <c r="M203" t="b">
        <f t="shared" si="20"/>
        <v>0</v>
      </c>
      <c r="N203" t="b">
        <f t="shared" ca="1" si="21"/>
        <v>0</v>
      </c>
      <c r="O203" t="b">
        <f t="shared" si="22"/>
        <v>1</v>
      </c>
      <c r="P203" t="b">
        <f t="shared" ca="1" si="23"/>
        <v>1</v>
      </c>
      <c r="Q203" t="b">
        <f>TRUE()</f>
        <v>1</v>
      </c>
      <c r="R203" t="b">
        <f t="shared" si="24"/>
        <v>1</v>
      </c>
      <c r="S203" t="b">
        <f t="shared" si="25"/>
        <v>1</v>
      </c>
      <c r="T203" t="b">
        <f t="shared" si="26"/>
        <v>1</v>
      </c>
      <c r="U203" t="b">
        <f t="shared" si="27"/>
        <v>1</v>
      </c>
      <c r="V203" t="b">
        <f t="shared" si="28"/>
        <v>1</v>
      </c>
      <c r="X203" t="b">
        <f t="shared" ca="1" si="29"/>
        <v>1</v>
      </c>
    </row>
    <row r="204" spans="2:24" ht="15" x14ac:dyDescent="0.25">
      <c r="B204" t="s">
        <v>612</v>
      </c>
      <c r="C204" t="s">
        <v>613</v>
      </c>
      <c r="D204" t="s">
        <v>614</v>
      </c>
      <c r="E204" t="s">
        <v>77</v>
      </c>
      <c r="F204">
        <v>4</v>
      </c>
      <c r="G204">
        <v>1051.6400000000001</v>
      </c>
      <c r="H204">
        <v>49.64</v>
      </c>
      <c r="I204">
        <v>0</v>
      </c>
      <c r="J204">
        <v>0</v>
      </c>
      <c r="M204" t="b">
        <f t="shared" si="20"/>
        <v>0</v>
      </c>
      <c r="N204" t="b">
        <f t="shared" ca="1" si="21"/>
        <v>0</v>
      </c>
      <c r="O204" t="b">
        <f t="shared" si="22"/>
        <v>1</v>
      </c>
      <c r="P204" t="b">
        <f t="shared" ca="1" si="23"/>
        <v>1</v>
      </c>
      <c r="Q204" t="b">
        <f>TRUE()</f>
        <v>1</v>
      </c>
      <c r="R204" t="b">
        <f t="shared" si="24"/>
        <v>1</v>
      </c>
      <c r="S204" t="b">
        <f t="shared" si="25"/>
        <v>1</v>
      </c>
      <c r="T204" t="b">
        <f t="shared" si="26"/>
        <v>1</v>
      </c>
      <c r="U204" t="b">
        <f t="shared" si="27"/>
        <v>1</v>
      </c>
      <c r="V204" t="b">
        <f t="shared" si="28"/>
        <v>1</v>
      </c>
      <c r="X204" t="b">
        <f t="shared" ca="1" si="29"/>
        <v>1</v>
      </c>
    </row>
    <row r="205" spans="2:24" ht="15" x14ac:dyDescent="0.25">
      <c r="B205" t="s">
        <v>615</v>
      </c>
      <c r="C205" t="s">
        <v>616</v>
      </c>
      <c r="D205" t="s">
        <v>617</v>
      </c>
      <c r="E205" t="s">
        <v>77</v>
      </c>
      <c r="F205">
        <v>0</v>
      </c>
      <c r="G205">
        <v>28.99</v>
      </c>
      <c r="H205">
        <v>28.99</v>
      </c>
      <c r="I205">
        <v>0</v>
      </c>
      <c r="J205">
        <v>0</v>
      </c>
      <c r="M205" t="b">
        <f t="shared" si="20"/>
        <v>0</v>
      </c>
      <c r="N205" t="b">
        <f t="shared" ca="1" si="21"/>
        <v>0</v>
      </c>
      <c r="O205" t="b">
        <f t="shared" si="22"/>
        <v>1</v>
      </c>
      <c r="P205" t="b">
        <f t="shared" ca="1" si="23"/>
        <v>1</v>
      </c>
      <c r="Q205" t="b">
        <f>TRUE()</f>
        <v>1</v>
      </c>
      <c r="R205" t="b">
        <f t="shared" si="24"/>
        <v>0</v>
      </c>
      <c r="S205" t="b">
        <f t="shared" si="25"/>
        <v>1</v>
      </c>
      <c r="T205" t="b">
        <f t="shared" si="26"/>
        <v>1</v>
      </c>
      <c r="U205" t="b">
        <f t="shared" si="27"/>
        <v>1</v>
      </c>
      <c r="V205" t="b">
        <f t="shared" si="28"/>
        <v>1</v>
      </c>
      <c r="X205" t="b">
        <f t="shared" ca="1" si="29"/>
        <v>0</v>
      </c>
    </row>
    <row r="206" spans="2:24" ht="15" x14ac:dyDescent="0.25">
      <c r="B206" t="s">
        <v>618</v>
      </c>
      <c r="C206" t="s">
        <v>619</v>
      </c>
      <c r="D206" t="s">
        <v>620</v>
      </c>
      <c r="E206" t="s">
        <v>77</v>
      </c>
      <c r="F206">
        <v>4</v>
      </c>
      <c r="G206">
        <v>1149.98</v>
      </c>
      <c r="H206">
        <v>57.98</v>
      </c>
      <c r="I206">
        <v>0</v>
      </c>
      <c r="J206">
        <v>0</v>
      </c>
      <c r="M206" t="b">
        <f t="shared" si="20"/>
        <v>0</v>
      </c>
      <c r="N206" t="b">
        <f t="shared" ca="1" si="21"/>
        <v>0</v>
      </c>
      <c r="O206" t="b">
        <f t="shared" si="22"/>
        <v>1</v>
      </c>
      <c r="P206" t="b">
        <f t="shared" ca="1" si="23"/>
        <v>1</v>
      </c>
      <c r="Q206" t="b">
        <f>TRUE()</f>
        <v>1</v>
      </c>
      <c r="R206" t="b">
        <f t="shared" si="24"/>
        <v>1</v>
      </c>
      <c r="S206" t="b">
        <f t="shared" si="25"/>
        <v>1</v>
      </c>
      <c r="T206" t="b">
        <f t="shared" si="26"/>
        <v>1</v>
      </c>
      <c r="U206" t="b">
        <f t="shared" si="27"/>
        <v>1</v>
      </c>
      <c r="V206" t="b">
        <f t="shared" si="28"/>
        <v>1</v>
      </c>
      <c r="X206" t="b">
        <f t="shared" ca="1" si="29"/>
        <v>1</v>
      </c>
    </row>
    <row r="207" spans="2:24" ht="15" x14ac:dyDescent="0.25">
      <c r="B207" t="s">
        <v>621</v>
      </c>
      <c r="C207" t="s">
        <v>622</v>
      </c>
      <c r="D207" t="s">
        <v>623</v>
      </c>
      <c r="E207" t="s">
        <v>77</v>
      </c>
      <c r="F207">
        <v>2</v>
      </c>
      <c r="G207">
        <v>822.98</v>
      </c>
      <c r="H207">
        <v>597.98</v>
      </c>
      <c r="I207">
        <v>0</v>
      </c>
      <c r="J207">
        <v>0</v>
      </c>
      <c r="M207" t="b">
        <f t="shared" si="20"/>
        <v>0</v>
      </c>
      <c r="N207" t="b">
        <f t="shared" ca="1" si="21"/>
        <v>0</v>
      </c>
      <c r="O207" t="b">
        <f t="shared" si="22"/>
        <v>1</v>
      </c>
      <c r="P207" t="b">
        <f t="shared" ca="1" si="23"/>
        <v>1</v>
      </c>
      <c r="Q207" t="b">
        <f>TRUE()</f>
        <v>1</v>
      </c>
      <c r="R207" t="b">
        <f t="shared" si="24"/>
        <v>1</v>
      </c>
      <c r="S207" t="b">
        <f t="shared" si="25"/>
        <v>1</v>
      </c>
      <c r="T207" t="b">
        <f t="shared" si="26"/>
        <v>1</v>
      </c>
      <c r="U207" t="b">
        <f t="shared" si="27"/>
        <v>1</v>
      </c>
      <c r="V207" t="b">
        <f t="shared" si="28"/>
        <v>1</v>
      </c>
      <c r="X207" t="b">
        <f t="shared" ca="1" si="29"/>
        <v>1</v>
      </c>
    </row>
    <row r="208" spans="2:24" ht="15" x14ac:dyDescent="0.25">
      <c r="B208" t="s">
        <v>624</v>
      </c>
      <c r="C208" t="s">
        <v>625</v>
      </c>
      <c r="D208" t="s">
        <v>626</v>
      </c>
      <c r="E208" t="s">
        <v>77</v>
      </c>
      <c r="F208">
        <v>4</v>
      </c>
      <c r="G208">
        <v>1326.96</v>
      </c>
      <c r="H208">
        <v>115.96</v>
      </c>
      <c r="I208">
        <v>0</v>
      </c>
      <c r="J208">
        <v>0</v>
      </c>
      <c r="M208" t="b">
        <f t="shared" si="20"/>
        <v>0</v>
      </c>
      <c r="N208" t="b">
        <f t="shared" ca="1" si="21"/>
        <v>0</v>
      </c>
      <c r="O208" t="b">
        <f t="shared" si="22"/>
        <v>1</v>
      </c>
      <c r="P208" t="b">
        <f t="shared" ca="1" si="23"/>
        <v>1</v>
      </c>
      <c r="Q208" t="b">
        <f>TRUE()</f>
        <v>1</v>
      </c>
      <c r="R208" t="b">
        <f t="shared" si="24"/>
        <v>1</v>
      </c>
      <c r="S208" t="b">
        <f t="shared" si="25"/>
        <v>1</v>
      </c>
      <c r="T208" t="b">
        <f t="shared" si="26"/>
        <v>1</v>
      </c>
      <c r="U208" t="b">
        <f t="shared" si="27"/>
        <v>1</v>
      </c>
      <c r="V208" t="b">
        <f t="shared" si="28"/>
        <v>1</v>
      </c>
      <c r="X208" t="b">
        <f t="shared" ca="1" si="29"/>
        <v>1</v>
      </c>
    </row>
    <row r="209" spans="2:24" ht="15" x14ac:dyDescent="0.25">
      <c r="B209" t="s">
        <v>627</v>
      </c>
      <c r="C209" t="s">
        <v>628</v>
      </c>
      <c r="D209" t="s">
        <v>629</v>
      </c>
      <c r="E209" t="s">
        <v>77</v>
      </c>
      <c r="F209">
        <v>4</v>
      </c>
      <c r="G209">
        <v>1509.23</v>
      </c>
      <c r="H209">
        <v>57.98</v>
      </c>
      <c r="I209">
        <v>0</v>
      </c>
      <c r="J209">
        <v>0</v>
      </c>
      <c r="M209" t="b">
        <f t="shared" si="20"/>
        <v>0</v>
      </c>
      <c r="N209" t="b">
        <f t="shared" ca="1" si="21"/>
        <v>0</v>
      </c>
      <c r="O209" t="b">
        <f t="shared" si="22"/>
        <v>1</v>
      </c>
      <c r="P209" t="b">
        <f t="shared" ca="1" si="23"/>
        <v>1</v>
      </c>
      <c r="Q209" t="b">
        <f>TRUE()</f>
        <v>1</v>
      </c>
      <c r="R209" t="b">
        <f t="shared" si="24"/>
        <v>1</v>
      </c>
      <c r="S209" t="b">
        <f t="shared" si="25"/>
        <v>1</v>
      </c>
      <c r="T209" t="b">
        <f t="shared" si="26"/>
        <v>1</v>
      </c>
      <c r="U209" t="b">
        <f t="shared" si="27"/>
        <v>1</v>
      </c>
      <c r="V209" t="b">
        <f t="shared" si="28"/>
        <v>1</v>
      </c>
      <c r="X209" t="b">
        <f t="shared" ca="1" si="29"/>
        <v>1</v>
      </c>
    </row>
    <row r="210" spans="2:24" ht="15" x14ac:dyDescent="0.25">
      <c r="B210" t="s">
        <v>630</v>
      </c>
      <c r="C210" t="s">
        <v>631</v>
      </c>
      <c r="D210" t="s">
        <v>632</v>
      </c>
      <c r="E210" t="s">
        <v>77</v>
      </c>
      <c r="F210">
        <v>4</v>
      </c>
      <c r="G210">
        <v>1448.98</v>
      </c>
      <c r="H210">
        <v>57.98</v>
      </c>
      <c r="I210">
        <v>0</v>
      </c>
      <c r="J210">
        <v>0</v>
      </c>
      <c r="M210" t="b">
        <f t="shared" si="20"/>
        <v>0</v>
      </c>
      <c r="N210" t="b">
        <f t="shared" ca="1" si="21"/>
        <v>0</v>
      </c>
      <c r="O210" t="b">
        <f t="shared" si="22"/>
        <v>1</v>
      </c>
      <c r="P210" t="b">
        <f t="shared" ca="1" si="23"/>
        <v>1</v>
      </c>
      <c r="Q210" t="b">
        <f>TRUE()</f>
        <v>1</v>
      </c>
      <c r="R210" t="b">
        <f t="shared" si="24"/>
        <v>1</v>
      </c>
      <c r="S210" t="b">
        <f t="shared" si="25"/>
        <v>1</v>
      </c>
      <c r="T210" t="b">
        <f t="shared" si="26"/>
        <v>1</v>
      </c>
      <c r="U210" t="b">
        <f t="shared" si="27"/>
        <v>1</v>
      </c>
      <c r="V210" t="b">
        <f t="shared" si="28"/>
        <v>1</v>
      </c>
      <c r="X210" t="b">
        <f t="shared" ca="1" si="29"/>
        <v>1</v>
      </c>
    </row>
    <row r="211" spans="2:24" ht="15" x14ac:dyDescent="0.25">
      <c r="B211" t="s">
        <v>633</v>
      </c>
      <c r="C211" t="s">
        <v>634</v>
      </c>
      <c r="D211" t="s">
        <v>635</v>
      </c>
      <c r="E211" t="s">
        <v>77</v>
      </c>
      <c r="F211">
        <v>2</v>
      </c>
      <c r="G211">
        <v>860.57</v>
      </c>
      <c r="H211">
        <v>91.94</v>
      </c>
      <c r="I211">
        <v>0</v>
      </c>
      <c r="J211">
        <v>0</v>
      </c>
      <c r="M211" t="b">
        <f t="shared" si="20"/>
        <v>0</v>
      </c>
      <c r="N211" t="b">
        <f t="shared" ca="1" si="21"/>
        <v>0</v>
      </c>
      <c r="O211" t="b">
        <f t="shared" si="22"/>
        <v>1</v>
      </c>
      <c r="P211" t="b">
        <f t="shared" ca="1" si="23"/>
        <v>1</v>
      </c>
      <c r="Q211" t="b">
        <f>TRUE()</f>
        <v>1</v>
      </c>
      <c r="R211" t="b">
        <f t="shared" si="24"/>
        <v>1</v>
      </c>
      <c r="S211" t="b">
        <f t="shared" si="25"/>
        <v>1</v>
      </c>
      <c r="T211" t="b">
        <f t="shared" si="26"/>
        <v>1</v>
      </c>
      <c r="U211" t="b">
        <f t="shared" si="27"/>
        <v>1</v>
      </c>
      <c r="V211" t="b">
        <f t="shared" si="28"/>
        <v>1</v>
      </c>
      <c r="X211" t="b">
        <f t="shared" ca="1" si="29"/>
        <v>1</v>
      </c>
    </row>
    <row r="212" spans="2:24" ht="15" x14ac:dyDescent="0.25">
      <c r="B212" t="s">
        <v>636</v>
      </c>
      <c r="C212" t="s">
        <v>637</v>
      </c>
      <c r="D212" t="s">
        <v>638</v>
      </c>
      <c r="E212" t="s">
        <v>77</v>
      </c>
      <c r="F212">
        <v>4</v>
      </c>
      <c r="G212">
        <v>737.46</v>
      </c>
      <c r="H212">
        <v>90.71</v>
      </c>
      <c r="I212">
        <v>0</v>
      </c>
      <c r="J212">
        <v>0</v>
      </c>
      <c r="M212" t="b">
        <f t="shared" si="20"/>
        <v>0</v>
      </c>
      <c r="N212" t="b">
        <f t="shared" ca="1" si="21"/>
        <v>0</v>
      </c>
      <c r="O212" t="b">
        <f t="shared" si="22"/>
        <v>1</v>
      </c>
      <c r="P212" t="b">
        <f t="shared" ca="1" si="23"/>
        <v>1</v>
      </c>
      <c r="Q212" t="b">
        <f>TRUE()</f>
        <v>1</v>
      </c>
      <c r="R212" t="b">
        <f t="shared" si="24"/>
        <v>1</v>
      </c>
      <c r="S212" t="b">
        <f t="shared" si="25"/>
        <v>1</v>
      </c>
      <c r="T212" t="b">
        <f t="shared" si="26"/>
        <v>1</v>
      </c>
      <c r="U212" t="b">
        <f t="shared" si="27"/>
        <v>1</v>
      </c>
      <c r="V212" t="b">
        <f t="shared" si="28"/>
        <v>1</v>
      </c>
      <c r="X212" t="b">
        <f t="shared" ca="1" si="29"/>
        <v>1</v>
      </c>
    </row>
    <row r="213" spans="2:24" s="80" customFormat="1" ht="15" x14ac:dyDescent="0.25">
      <c r="B213" s="79" t="s">
        <v>162</v>
      </c>
      <c r="C213" s="79" t="s">
        <v>639</v>
      </c>
      <c r="D213" s="79" t="s">
        <v>640</v>
      </c>
      <c r="E213" s="79" t="s">
        <v>77</v>
      </c>
      <c r="F213" s="79">
        <v>4</v>
      </c>
      <c r="G213" s="79">
        <v>795.98</v>
      </c>
      <c r="H213" s="79">
        <v>72.98</v>
      </c>
      <c r="I213" s="79">
        <v>0</v>
      </c>
      <c r="J213" s="79">
        <v>0</v>
      </c>
      <c r="M213" s="79" t="b">
        <f t="shared" si="20"/>
        <v>0</v>
      </c>
      <c r="N213" s="79" t="b">
        <f t="shared" ca="1" si="21"/>
        <v>0</v>
      </c>
      <c r="O213" s="79" t="b">
        <f t="shared" si="22"/>
        <v>1</v>
      </c>
      <c r="P213" s="79" t="b">
        <f t="shared" ca="1" si="23"/>
        <v>1</v>
      </c>
      <c r="Q213" s="79" t="b">
        <f>TRUE()</f>
        <v>1</v>
      </c>
      <c r="R213" s="79" t="b">
        <f t="shared" si="24"/>
        <v>1</v>
      </c>
      <c r="S213" s="79" t="b">
        <f t="shared" si="25"/>
        <v>1</v>
      </c>
      <c r="T213" s="79" t="b">
        <f t="shared" si="26"/>
        <v>1</v>
      </c>
      <c r="U213" s="79" t="b">
        <f t="shared" si="27"/>
        <v>1</v>
      </c>
      <c r="V213" s="79" t="b">
        <f t="shared" si="28"/>
        <v>1</v>
      </c>
      <c r="W213" s="81"/>
      <c r="X213" s="79" t="b">
        <f t="shared" ca="1" si="29"/>
        <v>1</v>
      </c>
    </row>
    <row r="214" spans="2:24" ht="15" x14ac:dyDescent="0.25">
      <c r="B214" t="s">
        <v>641</v>
      </c>
      <c r="C214" t="s">
        <v>642</v>
      </c>
      <c r="D214" t="s">
        <v>643</v>
      </c>
      <c r="E214" t="s">
        <v>77</v>
      </c>
      <c r="F214">
        <v>4</v>
      </c>
      <c r="G214">
        <v>1242.3599999999999</v>
      </c>
      <c r="H214">
        <v>57.98</v>
      </c>
      <c r="I214">
        <v>0</v>
      </c>
      <c r="J214">
        <v>0</v>
      </c>
      <c r="M214" t="b">
        <f t="shared" si="20"/>
        <v>0</v>
      </c>
      <c r="N214" t="b">
        <f t="shared" ca="1" si="21"/>
        <v>0</v>
      </c>
      <c r="O214" t="b">
        <f t="shared" si="22"/>
        <v>1</v>
      </c>
      <c r="P214" t="b">
        <f t="shared" ca="1" si="23"/>
        <v>1</v>
      </c>
      <c r="Q214" t="b">
        <f>TRUE()</f>
        <v>1</v>
      </c>
      <c r="R214" t="b">
        <f t="shared" si="24"/>
        <v>1</v>
      </c>
      <c r="S214" t="b">
        <f t="shared" si="25"/>
        <v>1</v>
      </c>
      <c r="T214" t="b">
        <f t="shared" si="26"/>
        <v>1</v>
      </c>
      <c r="U214" t="b">
        <f t="shared" si="27"/>
        <v>1</v>
      </c>
      <c r="V214" t="b">
        <f t="shared" si="28"/>
        <v>1</v>
      </c>
      <c r="X214" t="b">
        <f t="shared" ca="1" si="29"/>
        <v>1</v>
      </c>
    </row>
    <row r="215" spans="2:24" ht="15" x14ac:dyDescent="0.25">
      <c r="B215" t="s">
        <v>644</v>
      </c>
      <c r="C215" t="s">
        <v>645</v>
      </c>
      <c r="D215" t="s">
        <v>646</v>
      </c>
      <c r="E215" t="s">
        <v>77</v>
      </c>
      <c r="F215">
        <v>4</v>
      </c>
      <c r="G215">
        <v>729.51</v>
      </c>
      <c r="H215">
        <v>63.51</v>
      </c>
      <c r="I215">
        <v>0</v>
      </c>
      <c r="J215">
        <v>0</v>
      </c>
      <c r="M215" t="b">
        <f t="shared" si="20"/>
        <v>0</v>
      </c>
      <c r="N215" t="b">
        <f t="shared" ca="1" si="21"/>
        <v>0</v>
      </c>
      <c r="O215" t="b">
        <f t="shared" si="22"/>
        <v>1</v>
      </c>
      <c r="P215" t="b">
        <f t="shared" ca="1" si="23"/>
        <v>1</v>
      </c>
      <c r="Q215" t="b">
        <f>TRUE()</f>
        <v>1</v>
      </c>
      <c r="R215" t="b">
        <f t="shared" si="24"/>
        <v>1</v>
      </c>
      <c r="S215" t="b">
        <f t="shared" si="25"/>
        <v>1</v>
      </c>
      <c r="T215" t="b">
        <f t="shared" si="26"/>
        <v>1</v>
      </c>
      <c r="U215" t="b">
        <f t="shared" si="27"/>
        <v>1</v>
      </c>
      <c r="V215" t="b">
        <f t="shared" si="28"/>
        <v>1</v>
      </c>
      <c r="X215" t="b">
        <f t="shared" ca="1" si="29"/>
        <v>1</v>
      </c>
    </row>
    <row r="216" spans="2:24" ht="15" x14ac:dyDescent="0.25">
      <c r="B216" t="s">
        <v>647</v>
      </c>
      <c r="C216" t="s">
        <v>648</v>
      </c>
      <c r="D216" t="s">
        <v>649</v>
      </c>
      <c r="E216" t="s">
        <v>77</v>
      </c>
      <c r="F216">
        <v>4</v>
      </c>
      <c r="G216">
        <v>1083.49</v>
      </c>
      <c r="H216">
        <v>301.99</v>
      </c>
      <c r="I216">
        <v>0</v>
      </c>
      <c r="J216">
        <v>0</v>
      </c>
      <c r="M216" t="b">
        <f t="shared" si="20"/>
        <v>0</v>
      </c>
      <c r="N216" t="b">
        <f t="shared" ca="1" si="21"/>
        <v>0</v>
      </c>
      <c r="O216" t="b">
        <f t="shared" si="22"/>
        <v>1</v>
      </c>
      <c r="P216" t="b">
        <f t="shared" ca="1" si="23"/>
        <v>1</v>
      </c>
      <c r="Q216" t="b">
        <f>TRUE()</f>
        <v>1</v>
      </c>
      <c r="R216" t="b">
        <f t="shared" si="24"/>
        <v>1</v>
      </c>
      <c r="S216" t="b">
        <f t="shared" si="25"/>
        <v>1</v>
      </c>
      <c r="T216" t="b">
        <f t="shared" si="26"/>
        <v>1</v>
      </c>
      <c r="U216" t="b">
        <f t="shared" si="27"/>
        <v>1</v>
      </c>
      <c r="V216" t="b">
        <f t="shared" si="28"/>
        <v>1</v>
      </c>
      <c r="X216" t="b">
        <f t="shared" ca="1" si="29"/>
        <v>1</v>
      </c>
    </row>
    <row r="217" spans="2:24" s="80" customFormat="1" ht="15" x14ac:dyDescent="0.25">
      <c r="B217" s="79" t="s">
        <v>162</v>
      </c>
      <c r="C217" s="79" t="s">
        <v>650</v>
      </c>
      <c r="D217" s="79" t="s">
        <v>651</v>
      </c>
      <c r="E217" s="79" t="s">
        <v>77</v>
      </c>
      <c r="F217" s="79">
        <v>4</v>
      </c>
      <c r="G217" s="79">
        <v>935.24</v>
      </c>
      <c r="H217" s="79">
        <v>227.24</v>
      </c>
      <c r="I217" s="79">
        <v>0</v>
      </c>
      <c r="J217" s="79">
        <v>0</v>
      </c>
      <c r="M217" s="79" t="b">
        <f t="shared" ref="M217:M234" si="30">AND(ISBLANK(B217),ISBLANK(C217),ISBLANK(D217),ISBLANK(E217),ISBLANK(F217),ISBLANK(G217),ISBLANK(H217),ISBLANK(I217),ISBLANK(J217))</f>
        <v>0</v>
      </c>
      <c r="N217" s="79" t="b">
        <f t="shared" ref="N217:N234" ca="1" si="31">AND(LEN(SUBSTITUTE(B217,"-",""))=6,ISNUMBER(_xludf.NUMBERVALUE(SUBSTITUTE(B217,"-",""))))</f>
        <v>0</v>
      </c>
      <c r="O217" s="79" t="b">
        <f t="shared" ref="O217:O234" si="32">LEN(C217)&gt;0</f>
        <v>1</v>
      </c>
      <c r="P217" s="79" t="b">
        <f t="shared" ref="P217:P280" ca="1" si="33">OR(N217, AND(O217, TRUE()))</f>
        <v>1</v>
      </c>
      <c r="Q217" s="79" t="b">
        <f>TRUE()</f>
        <v>1</v>
      </c>
      <c r="R217" s="79" t="b">
        <f t="shared" ref="R217:R234" si="34">AND(ISNUMBER(F217), F217&gt;=1, F217&lt;=5)</f>
        <v>1</v>
      </c>
      <c r="S217" s="79" t="b">
        <f t="shared" ref="S217:S234" si="35">AND(ISNUMBER(G217), G217&gt;=SUM(H217,I217))</f>
        <v>1</v>
      </c>
      <c r="T217" s="79" t="b">
        <f t="shared" ref="T217:T234" si="36">AND(ISNUMBER(G217), G217&gt;=0)</f>
        <v>1</v>
      </c>
      <c r="U217" s="79" t="b">
        <f t="shared" ref="U217:U234" si="37">AND(ISNUMBER(I217), I217&gt;=0, ISNUMBER(H217), H217&gt;=0)</f>
        <v>1</v>
      </c>
      <c r="V217" s="79" t="b">
        <f t="shared" ref="V217:V234" si="38">AND(ISNUMBER(J217), J217&gt;=0)</f>
        <v>1</v>
      </c>
      <c r="W217" s="81"/>
      <c r="X217" s="79" t="b">
        <f t="shared" ref="X217:X234" ca="1" si="39">OR(M217, AND(P217:V217))</f>
        <v>1</v>
      </c>
    </row>
    <row r="218" spans="2:24" ht="15" x14ac:dyDescent="0.25">
      <c r="B218" t="s">
        <v>652</v>
      </c>
      <c r="C218" t="s">
        <v>653</v>
      </c>
      <c r="D218" t="s">
        <v>654</v>
      </c>
      <c r="E218" t="s">
        <v>77</v>
      </c>
      <c r="F218">
        <v>4</v>
      </c>
      <c r="G218">
        <v>464.79</v>
      </c>
      <c r="H218">
        <v>89.79</v>
      </c>
      <c r="I218">
        <v>0</v>
      </c>
      <c r="J218">
        <v>0</v>
      </c>
      <c r="M218" t="b">
        <f t="shared" si="30"/>
        <v>0</v>
      </c>
      <c r="N218" t="b">
        <f t="shared" ca="1" si="31"/>
        <v>0</v>
      </c>
      <c r="O218" t="b">
        <f t="shared" si="32"/>
        <v>1</v>
      </c>
      <c r="P218" t="b">
        <f t="shared" ca="1" si="33"/>
        <v>1</v>
      </c>
      <c r="Q218" t="b">
        <f>TRUE()</f>
        <v>1</v>
      </c>
      <c r="R218" t="b">
        <f t="shared" si="34"/>
        <v>1</v>
      </c>
      <c r="S218" t="b">
        <f t="shared" si="35"/>
        <v>1</v>
      </c>
      <c r="T218" t="b">
        <f t="shared" si="36"/>
        <v>1</v>
      </c>
      <c r="U218" t="b">
        <f t="shared" si="37"/>
        <v>1</v>
      </c>
      <c r="V218" t="b">
        <f t="shared" si="38"/>
        <v>1</v>
      </c>
      <c r="X218" t="b">
        <f t="shared" ca="1" si="39"/>
        <v>1</v>
      </c>
    </row>
    <row r="219" spans="2:24" ht="15" x14ac:dyDescent="0.25">
      <c r="B219" t="s">
        <v>655</v>
      </c>
      <c r="C219" t="s">
        <v>656</v>
      </c>
      <c r="D219" t="s">
        <v>657</v>
      </c>
      <c r="E219" t="s">
        <v>77</v>
      </c>
      <c r="F219">
        <v>4</v>
      </c>
      <c r="G219">
        <v>1202.49</v>
      </c>
      <c r="H219">
        <v>278.49</v>
      </c>
      <c r="I219">
        <v>0</v>
      </c>
      <c r="J219">
        <v>0</v>
      </c>
      <c r="M219" t="b">
        <f t="shared" si="30"/>
        <v>0</v>
      </c>
      <c r="N219" t="b">
        <f t="shared" ca="1" si="31"/>
        <v>0</v>
      </c>
      <c r="O219" t="b">
        <f t="shared" si="32"/>
        <v>1</v>
      </c>
      <c r="P219" t="b">
        <f t="shared" ca="1" si="33"/>
        <v>1</v>
      </c>
      <c r="Q219" t="b">
        <f>TRUE()</f>
        <v>1</v>
      </c>
      <c r="R219" t="b">
        <f t="shared" si="34"/>
        <v>1</v>
      </c>
      <c r="S219" t="b">
        <f t="shared" si="35"/>
        <v>1</v>
      </c>
      <c r="T219" t="b">
        <f t="shared" si="36"/>
        <v>1</v>
      </c>
      <c r="U219" t="b">
        <f t="shared" si="37"/>
        <v>1</v>
      </c>
      <c r="V219" t="b">
        <f t="shared" si="38"/>
        <v>1</v>
      </c>
      <c r="X219" t="b">
        <f t="shared" ca="1" si="39"/>
        <v>1</v>
      </c>
    </row>
    <row r="220" spans="2:24" s="80" customFormat="1" ht="15" x14ac:dyDescent="0.25">
      <c r="B220" s="79" t="s">
        <v>162</v>
      </c>
      <c r="C220" s="79" t="s">
        <v>523</v>
      </c>
      <c r="D220" s="79" t="s">
        <v>658</v>
      </c>
      <c r="E220" s="79" t="s">
        <v>77</v>
      </c>
      <c r="F220" s="79">
        <v>4</v>
      </c>
      <c r="G220" s="79">
        <v>660.02</v>
      </c>
      <c r="H220" s="79">
        <v>93.02</v>
      </c>
      <c r="I220" s="79">
        <v>0</v>
      </c>
      <c r="J220" s="79">
        <v>0</v>
      </c>
      <c r="M220" s="79" t="b">
        <f t="shared" si="30"/>
        <v>0</v>
      </c>
      <c r="N220" s="79" t="b">
        <f t="shared" ca="1" si="31"/>
        <v>0</v>
      </c>
      <c r="O220" s="79" t="b">
        <f t="shared" si="32"/>
        <v>1</v>
      </c>
      <c r="P220" s="79" t="b">
        <f t="shared" ca="1" si="33"/>
        <v>1</v>
      </c>
      <c r="Q220" s="79" t="b">
        <f>TRUE()</f>
        <v>1</v>
      </c>
      <c r="R220" s="79" t="b">
        <f t="shared" si="34"/>
        <v>1</v>
      </c>
      <c r="S220" s="79" t="b">
        <f t="shared" si="35"/>
        <v>1</v>
      </c>
      <c r="T220" s="79" t="b">
        <f t="shared" si="36"/>
        <v>1</v>
      </c>
      <c r="U220" s="79" t="b">
        <f t="shared" si="37"/>
        <v>1</v>
      </c>
      <c r="V220" s="79" t="b">
        <f t="shared" si="38"/>
        <v>1</v>
      </c>
      <c r="W220" s="81"/>
      <c r="X220" s="79" t="b">
        <f t="shared" ca="1" si="39"/>
        <v>1</v>
      </c>
    </row>
    <row r="221" spans="2:24" ht="15" x14ac:dyDescent="0.25">
      <c r="B221" t="s">
        <v>659</v>
      </c>
      <c r="C221" t="s">
        <v>660</v>
      </c>
      <c r="D221" t="s">
        <v>661</v>
      </c>
      <c r="E221" t="s">
        <v>77</v>
      </c>
      <c r="F221">
        <v>4</v>
      </c>
      <c r="G221">
        <v>675.98</v>
      </c>
      <c r="H221">
        <v>57.98</v>
      </c>
      <c r="I221">
        <v>0</v>
      </c>
      <c r="J221">
        <v>0</v>
      </c>
      <c r="M221" t="b">
        <f t="shared" si="30"/>
        <v>0</v>
      </c>
      <c r="N221" t="b">
        <f t="shared" ca="1" si="31"/>
        <v>0</v>
      </c>
      <c r="O221" t="b">
        <f t="shared" si="32"/>
        <v>1</v>
      </c>
      <c r="P221" t="b">
        <f t="shared" ca="1" si="33"/>
        <v>1</v>
      </c>
      <c r="Q221" t="b">
        <f>TRUE()</f>
        <v>1</v>
      </c>
      <c r="R221" t="b">
        <f t="shared" si="34"/>
        <v>1</v>
      </c>
      <c r="S221" t="b">
        <f t="shared" si="35"/>
        <v>1</v>
      </c>
      <c r="T221" t="b">
        <f t="shared" si="36"/>
        <v>1</v>
      </c>
      <c r="U221" t="b">
        <f t="shared" si="37"/>
        <v>1</v>
      </c>
      <c r="V221" t="b">
        <f t="shared" si="38"/>
        <v>1</v>
      </c>
      <c r="X221" t="b">
        <f t="shared" ca="1" si="39"/>
        <v>1</v>
      </c>
    </row>
    <row r="222" spans="2:24" s="80" customFormat="1" ht="15" x14ac:dyDescent="0.25">
      <c r="B222" s="79" t="s">
        <v>162</v>
      </c>
      <c r="C222" s="79" t="s">
        <v>662</v>
      </c>
      <c r="D222" s="79" t="s">
        <v>663</v>
      </c>
      <c r="E222" s="79" t="s">
        <v>77</v>
      </c>
      <c r="F222" s="79">
        <v>4</v>
      </c>
      <c r="G222" s="79">
        <v>952.32</v>
      </c>
      <c r="H222" s="79">
        <v>106.32</v>
      </c>
      <c r="I222" s="79">
        <v>0</v>
      </c>
      <c r="J222" s="79">
        <v>0</v>
      </c>
      <c r="M222" s="79" t="b">
        <f t="shared" si="30"/>
        <v>0</v>
      </c>
      <c r="N222" s="79" t="b">
        <f t="shared" ca="1" si="31"/>
        <v>0</v>
      </c>
      <c r="O222" s="79" t="b">
        <f t="shared" si="32"/>
        <v>1</v>
      </c>
      <c r="P222" s="79" t="b">
        <f t="shared" ca="1" si="33"/>
        <v>1</v>
      </c>
      <c r="Q222" s="79" t="b">
        <f>TRUE()</f>
        <v>1</v>
      </c>
      <c r="R222" s="79" t="b">
        <f t="shared" si="34"/>
        <v>1</v>
      </c>
      <c r="S222" s="79" t="b">
        <f t="shared" si="35"/>
        <v>1</v>
      </c>
      <c r="T222" s="79" t="b">
        <f t="shared" si="36"/>
        <v>1</v>
      </c>
      <c r="U222" s="79" t="b">
        <f t="shared" si="37"/>
        <v>1</v>
      </c>
      <c r="V222" s="79" t="b">
        <f t="shared" si="38"/>
        <v>1</v>
      </c>
      <c r="W222" s="81"/>
      <c r="X222" s="79" t="b">
        <f t="shared" ca="1" si="39"/>
        <v>1</v>
      </c>
    </row>
    <row r="223" spans="2:24" s="80" customFormat="1" ht="15" x14ac:dyDescent="0.25">
      <c r="B223" s="79" t="s">
        <v>162</v>
      </c>
      <c r="C223" s="79" t="s">
        <v>664</v>
      </c>
      <c r="D223" s="79" t="s">
        <v>665</v>
      </c>
      <c r="E223" s="79" t="s">
        <v>77</v>
      </c>
      <c r="F223" s="79">
        <v>4</v>
      </c>
      <c r="G223" s="79">
        <v>1217.44</v>
      </c>
      <c r="H223" s="79">
        <v>291.94</v>
      </c>
      <c r="I223" s="79">
        <v>0</v>
      </c>
      <c r="J223" s="79">
        <v>0</v>
      </c>
      <c r="M223" s="79" t="b">
        <f t="shared" si="30"/>
        <v>0</v>
      </c>
      <c r="N223" s="79" t="b">
        <f t="shared" ca="1" si="31"/>
        <v>0</v>
      </c>
      <c r="O223" s="79" t="b">
        <f t="shared" si="32"/>
        <v>1</v>
      </c>
      <c r="P223" s="79" t="b">
        <f t="shared" ca="1" si="33"/>
        <v>1</v>
      </c>
      <c r="Q223" s="79" t="b">
        <f>TRUE()</f>
        <v>1</v>
      </c>
      <c r="R223" s="79" t="b">
        <f t="shared" si="34"/>
        <v>1</v>
      </c>
      <c r="S223" s="79" t="b">
        <f t="shared" si="35"/>
        <v>1</v>
      </c>
      <c r="T223" s="79" t="b">
        <f t="shared" si="36"/>
        <v>1</v>
      </c>
      <c r="U223" s="79" t="b">
        <f t="shared" si="37"/>
        <v>1</v>
      </c>
      <c r="V223" s="79" t="b">
        <f t="shared" si="38"/>
        <v>1</v>
      </c>
      <c r="W223" s="81"/>
      <c r="X223" s="79" t="b">
        <f t="shared" ca="1" si="39"/>
        <v>1</v>
      </c>
    </row>
    <row r="224" spans="2:24" s="80" customFormat="1" ht="15" x14ac:dyDescent="0.25">
      <c r="B224" s="79" t="s">
        <v>162</v>
      </c>
      <c r="C224" s="79" t="s">
        <v>666</v>
      </c>
      <c r="D224" s="79" t="s">
        <v>667</v>
      </c>
      <c r="E224" s="79" t="s">
        <v>77</v>
      </c>
      <c r="F224" s="79">
        <v>4</v>
      </c>
      <c r="G224" s="79">
        <v>1149.3599999999999</v>
      </c>
      <c r="H224" s="79">
        <v>274.86</v>
      </c>
      <c r="I224" s="79">
        <v>0</v>
      </c>
      <c r="J224" s="79">
        <v>0</v>
      </c>
      <c r="M224" s="79" t="b">
        <f t="shared" si="30"/>
        <v>0</v>
      </c>
      <c r="N224" s="79" t="b">
        <f t="shared" ca="1" si="31"/>
        <v>0</v>
      </c>
      <c r="O224" s="79" t="b">
        <f t="shared" si="32"/>
        <v>1</v>
      </c>
      <c r="P224" s="79" t="b">
        <f t="shared" ca="1" si="33"/>
        <v>1</v>
      </c>
      <c r="Q224" s="79" t="b">
        <f>TRUE()</f>
        <v>1</v>
      </c>
      <c r="R224" s="79" t="b">
        <f t="shared" si="34"/>
        <v>1</v>
      </c>
      <c r="S224" s="79" t="b">
        <f t="shared" si="35"/>
        <v>1</v>
      </c>
      <c r="T224" s="79" t="b">
        <f t="shared" si="36"/>
        <v>1</v>
      </c>
      <c r="U224" s="79" t="b">
        <f t="shared" si="37"/>
        <v>1</v>
      </c>
      <c r="V224" s="79" t="b">
        <f t="shared" si="38"/>
        <v>1</v>
      </c>
      <c r="W224" s="81"/>
      <c r="X224" s="79" t="b">
        <f t="shared" ca="1" si="39"/>
        <v>1</v>
      </c>
    </row>
    <row r="225" spans="2:24" s="80" customFormat="1" ht="15" x14ac:dyDescent="0.25">
      <c r="B225" s="79" t="s">
        <v>162</v>
      </c>
      <c r="C225" s="79" t="s">
        <v>668</v>
      </c>
      <c r="D225" s="79" t="s">
        <v>669</v>
      </c>
      <c r="E225" s="79" t="s">
        <v>77</v>
      </c>
      <c r="F225" s="79">
        <v>4</v>
      </c>
      <c r="G225" s="79">
        <v>1036.9100000000001</v>
      </c>
      <c r="H225" s="79">
        <v>261.41000000000003</v>
      </c>
      <c r="I225" s="79">
        <v>0</v>
      </c>
      <c r="J225" s="79">
        <v>0</v>
      </c>
      <c r="M225" s="79" t="b">
        <f t="shared" si="30"/>
        <v>0</v>
      </c>
      <c r="N225" s="79" t="b">
        <f t="shared" ca="1" si="31"/>
        <v>0</v>
      </c>
      <c r="O225" s="79" t="b">
        <f t="shared" si="32"/>
        <v>1</v>
      </c>
      <c r="P225" s="79" t="b">
        <f t="shared" ca="1" si="33"/>
        <v>1</v>
      </c>
      <c r="Q225" s="79" t="b">
        <f>TRUE()</f>
        <v>1</v>
      </c>
      <c r="R225" s="79" t="b">
        <f t="shared" si="34"/>
        <v>1</v>
      </c>
      <c r="S225" s="79" t="b">
        <f t="shared" si="35"/>
        <v>1</v>
      </c>
      <c r="T225" s="79" t="b">
        <f t="shared" si="36"/>
        <v>1</v>
      </c>
      <c r="U225" s="79" t="b">
        <f t="shared" si="37"/>
        <v>1</v>
      </c>
      <c r="V225" s="79" t="b">
        <f t="shared" si="38"/>
        <v>1</v>
      </c>
      <c r="W225" s="81"/>
      <c r="X225" s="79" t="b">
        <f t="shared" ca="1" si="39"/>
        <v>1</v>
      </c>
    </row>
    <row r="226" spans="2:24" s="80" customFormat="1" ht="15" x14ac:dyDescent="0.25">
      <c r="B226" s="79" t="s">
        <v>162</v>
      </c>
      <c r="C226" s="79" t="s">
        <v>670</v>
      </c>
      <c r="D226" s="79" t="s">
        <v>671</v>
      </c>
      <c r="E226" s="79" t="s">
        <v>77</v>
      </c>
      <c r="F226" s="79">
        <v>0</v>
      </c>
      <c r="G226" s="79">
        <v>23.19</v>
      </c>
      <c r="H226" s="79">
        <v>23.19</v>
      </c>
      <c r="I226" s="79">
        <v>0</v>
      </c>
      <c r="J226" s="79">
        <v>0</v>
      </c>
      <c r="M226" s="79" t="b">
        <f t="shared" si="30"/>
        <v>0</v>
      </c>
      <c r="N226" s="79" t="b">
        <f t="shared" ca="1" si="31"/>
        <v>0</v>
      </c>
      <c r="O226" s="79" t="b">
        <f t="shared" si="32"/>
        <v>1</v>
      </c>
      <c r="P226" s="79" t="b">
        <f t="shared" ca="1" si="33"/>
        <v>1</v>
      </c>
      <c r="Q226" s="79" t="b">
        <f>TRUE()</f>
        <v>1</v>
      </c>
      <c r="R226" s="79" t="b">
        <f t="shared" si="34"/>
        <v>0</v>
      </c>
      <c r="S226" s="79" t="b">
        <f t="shared" si="35"/>
        <v>1</v>
      </c>
      <c r="T226" s="79" t="b">
        <f t="shared" si="36"/>
        <v>1</v>
      </c>
      <c r="U226" s="79" t="b">
        <f t="shared" si="37"/>
        <v>1</v>
      </c>
      <c r="V226" s="79" t="b">
        <f t="shared" si="38"/>
        <v>1</v>
      </c>
      <c r="W226" s="81"/>
      <c r="X226" s="79" t="b">
        <f t="shared" ca="1" si="39"/>
        <v>0</v>
      </c>
    </row>
    <row r="227" spans="2:24" s="80" customFormat="1" ht="15" x14ac:dyDescent="0.25">
      <c r="B227" s="79" t="s">
        <v>162</v>
      </c>
      <c r="C227" s="79" t="s">
        <v>672</v>
      </c>
      <c r="D227" s="79" t="s">
        <v>673</v>
      </c>
      <c r="E227" s="79" t="s">
        <v>77</v>
      </c>
      <c r="F227" s="79">
        <v>4</v>
      </c>
      <c r="G227" s="79">
        <v>687</v>
      </c>
      <c r="H227" s="79">
        <v>0</v>
      </c>
      <c r="I227" s="79">
        <v>0</v>
      </c>
      <c r="J227" s="79">
        <v>0</v>
      </c>
      <c r="M227" s="79" t="b">
        <f t="shared" si="30"/>
        <v>0</v>
      </c>
      <c r="N227" s="79" t="b">
        <f t="shared" ca="1" si="31"/>
        <v>0</v>
      </c>
      <c r="O227" s="79" t="b">
        <f t="shared" si="32"/>
        <v>1</v>
      </c>
      <c r="P227" s="79" t="b">
        <f t="shared" ca="1" si="33"/>
        <v>1</v>
      </c>
      <c r="Q227" s="79" t="b">
        <f>TRUE()</f>
        <v>1</v>
      </c>
      <c r="R227" s="79" t="b">
        <f t="shared" si="34"/>
        <v>1</v>
      </c>
      <c r="S227" s="79" t="b">
        <f t="shared" si="35"/>
        <v>1</v>
      </c>
      <c r="T227" s="79" t="b">
        <f t="shared" si="36"/>
        <v>1</v>
      </c>
      <c r="U227" s="79" t="b">
        <f t="shared" si="37"/>
        <v>1</v>
      </c>
      <c r="V227" s="79" t="b">
        <f t="shared" si="38"/>
        <v>1</v>
      </c>
      <c r="W227" s="81"/>
      <c r="X227" s="79" t="b">
        <f t="shared" ca="1" si="39"/>
        <v>1</v>
      </c>
    </row>
    <row r="228" spans="2:24" s="80" customFormat="1" ht="15" x14ac:dyDescent="0.25">
      <c r="B228" s="79" t="s">
        <v>162</v>
      </c>
      <c r="C228" s="79" t="s">
        <v>674</v>
      </c>
      <c r="D228" s="79" t="s">
        <v>675</v>
      </c>
      <c r="E228" s="79" t="s">
        <v>77</v>
      </c>
      <c r="F228" s="79">
        <v>4</v>
      </c>
      <c r="G228" s="79">
        <v>1295.48</v>
      </c>
      <c r="H228" s="79">
        <v>57.98</v>
      </c>
      <c r="I228" s="79">
        <v>0</v>
      </c>
      <c r="J228" s="79">
        <v>0</v>
      </c>
      <c r="M228" s="79" t="b">
        <f t="shared" si="30"/>
        <v>0</v>
      </c>
      <c r="N228" s="79" t="b">
        <f t="shared" ca="1" si="31"/>
        <v>0</v>
      </c>
      <c r="O228" s="79" t="b">
        <f t="shared" si="32"/>
        <v>1</v>
      </c>
      <c r="P228" s="79" t="b">
        <f t="shared" ca="1" si="33"/>
        <v>1</v>
      </c>
      <c r="Q228" s="79" t="b">
        <f>TRUE()</f>
        <v>1</v>
      </c>
      <c r="R228" s="79" t="b">
        <f t="shared" si="34"/>
        <v>1</v>
      </c>
      <c r="S228" s="79" t="b">
        <f t="shared" si="35"/>
        <v>1</v>
      </c>
      <c r="T228" s="79" t="b">
        <f t="shared" si="36"/>
        <v>1</v>
      </c>
      <c r="U228" s="79" t="b">
        <f t="shared" si="37"/>
        <v>1</v>
      </c>
      <c r="V228" s="79" t="b">
        <f t="shared" si="38"/>
        <v>1</v>
      </c>
      <c r="W228" s="81"/>
      <c r="X228" s="79" t="b">
        <f t="shared" ca="1" si="39"/>
        <v>1</v>
      </c>
    </row>
    <row r="229" spans="2:24" s="80" customFormat="1" ht="15" x14ac:dyDescent="0.25">
      <c r="B229" s="79" t="s">
        <v>162</v>
      </c>
      <c r="C229" s="79" t="s">
        <v>676</v>
      </c>
      <c r="D229" s="79" t="s">
        <v>677</v>
      </c>
      <c r="E229" s="79" t="s">
        <v>77</v>
      </c>
      <c r="F229" s="79">
        <v>2</v>
      </c>
      <c r="G229" s="79">
        <v>57.98</v>
      </c>
      <c r="H229" s="79">
        <v>57.98</v>
      </c>
      <c r="I229" s="79">
        <v>0</v>
      </c>
      <c r="J229" s="79">
        <v>0</v>
      </c>
      <c r="M229" s="79" t="b">
        <f t="shared" si="30"/>
        <v>0</v>
      </c>
      <c r="N229" s="79" t="b">
        <f t="shared" ca="1" si="31"/>
        <v>0</v>
      </c>
      <c r="O229" s="79" t="b">
        <f t="shared" si="32"/>
        <v>1</v>
      </c>
      <c r="P229" s="79" t="b">
        <f t="shared" ca="1" si="33"/>
        <v>1</v>
      </c>
      <c r="Q229" s="79" t="b">
        <f>TRUE()</f>
        <v>1</v>
      </c>
      <c r="R229" s="79" t="b">
        <f t="shared" si="34"/>
        <v>1</v>
      </c>
      <c r="S229" s="79" t="b">
        <f t="shared" si="35"/>
        <v>1</v>
      </c>
      <c r="T229" s="79" t="b">
        <f t="shared" si="36"/>
        <v>1</v>
      </c>
      <c r="U229" s="79" t="b">
        <f t="shared" si="37"/>
        <v>1</v>
      </c>
      <c r="V229" s="79" t="b">
        <f t="shared" si="38"/>
        <v>1</v>
      </c>
      <c r="W229" s="81"/>
      <c r="X229" s="79" t="b">
        <f t="shared" ca="1" si="39"/>
        <v>1</v>
      </c>
    </row>
    <row r="230" spans="2:24" s="80" customFormat="1" ht="15" x14ac:dyDescent="0.25">
      <c r="B230" s="79" t="s">
        <v>162</v>
      </c>
      <c r="C230" s="79" t="s">
        <v>678</v>
      </c>
      <c r="D230" s="79" t="s">
        <v>679</v>
      </c>
      <c r="E230" s="79" t="s">
        <v>77</v>
      </c>
      <c r="F230" s="79">
        <v>2</v>
      </c>
      <c r="G230" s="79">
        <v>789.58</v>
      </c>
      <c r="H230" s="79">
        <v>207.58</v>
      </c>
      <c r="I230" s="79">
        <v>0</v>
      </c>
      <c r="J230" s="79">
        <v>0</v>
      </c>
      <c r="M230" s="79" t="b">
        <f t="shared" si="30"/>
        <v>0</v>
      </c>
      <c r="N230" s="79" t="b">
        <f t="shared" ca="1" si="31"/>
        <v>0</v>
      </c>
      <c r="O230" s="79" t="b">
        <f t="shared" si="32"/>
        <v>1</v>
      </c>
      <c r="P230" s="79" t="b">
        <f t="shared" ca="1" si="33"/>
        <v>1</v>
      </c>
      <c r="Q230" s="79" t="b">
        <f>TRUE()</f>
        <v>1</v>
      </c>
      <c r="R230" s="79" t="b">
        <f t="shared" si="34"/>
        <v>1</v>
      </c>
      <c r="S230" s="79" t="b">
        <f t="shared" si="35"/>
        <v>1</v>
      </c>
      <c r="T230" s="79" t="b">
        <f t="shared" si="36"/>
        <v>1</v>
      </c>
      <c r="U230" s="79" t="b">
        <f t="shared" si="37"/>
        <v>1</v>
      </c>
      <c r="V230" s="79" t="b">
        <f t="shared" si="38"/>
        <v>1</v>
      </c>
      <c r="W230" s="81"/>
      <c r="X230" s="79" t="b">
        <f t="shared" ca="1" si="39"/>
        <v>1</v>
      </c>
    </row>
    <row r="231" spans="2:24" s="80" customFormat="1" ht="15" x14ac:dyDescent="0.25">
      <c r="B231" s="79" t="s">
        <v>162</v>
      </c>
      <c r="C231" s="79" t="s">
        <v>680</v>
      </c>
      <c r="D231" s="79" t="s">
        <v>681</v>
      </c>
      <c r="E231" s="79" t="s">
        <v>77</v>
      </c>
      <c r="F231" s="79">
        <v>4</v>
      </c>
      <c r="G231" s="79">
        <v>500</v>
      </c>
      <c r="H231" s="79">
        <v>500</v>
      </c>
      <c r="I231" s="79">
        <v>0</v>
      </c>
      <c r="J231" s="79">
        <v>0</v>
      </c>
      <c r="M231" s="79" t="b">
        <f t="shared" si="30"/>
        <v>0</v>
      </c>
      <c r="N231" s="79" t="b">
        <f t="shared" ca="1" si="31"/>
        <v>0</v>
      </c>
      <c r="O231" s="79" t="b">
        <f t="shared" si="32"/>
        <v>1</v>
      </c>
      <c r="P231" s="79" t="b">
        <f t="shared" ca="1" si="33"/>
        <v>1</v>
      </c>
      <c r="Q231" s="79" t="b">
        <f>TRUE()</f>
        <v>1</v>
      </c>
      <c r="R231" s="79" t="b">
        <f t="shared" si="34"/>
        <v>1</v>
      </c>
      <c r="S231" s="79" t="b">
        <f t="shared" si="35"/>
        <v>1</v>
      </c>
      <c r="T231" s="79" t="b">
        <f t="shared" si="36"/>
        <v>1</v>
      </c>
      <c r="U231" s="79" t="b">
        <f t="shared" si="37"/>
        <v>1</v>
      </c>
      <c r="V231" s="79" t="b">
        <f t="shared" si="38"/>
        <v>1</v>
      </c>
      <c r="W231" s="81"/>
      <c r="X231" s="79" t="b">
        <f t="shared" ca="1" si="39"/>
        <v>1</v>
      </c>
    </row>
    <row r="232" spans="2:24" s="80" customFormat="1" ht="15" x14ac:dyDescent="0.25">
      <c r="B232" s="79" t="s">
        <v>162</v>
      </c>
      <c r="C232" s="79" t="s">
        <v>682</v>
      </c>
      <c r="D232" s="79" t="s">
        <v>683</v>
      </c>
      <c r="E232" s="79" t="s">
        <v>77</v>
      </c>
      <c r="F232" s="79">
        <v>4</v>
      </c>
      <c r="G232" s="79">
        <v>1130.1199999999999</v>
      </c>
      <c r="H232" s="79">
        <v>0</v>
      </c>
      <c r="I232" s="79">
        <v>0</v>
      </c>
      <c r="J232" s="79">
        <v>0</v>
      </c>
      <c r="M232" s="79" t="b">
        <f t="shared" si="30"/>
        <v>0</v>
      </c>
      <c r="N232" s="79" t="b">
        <f t="shared" ca="1" si="31"/>
        <v>0</v>
      </c>
      <c r="O232" s="79" t="b">
        <f t="shared" si="32"/>
        <v>1</v>
      </c>
      <c r="P232" s="79" t="b">
        <f t="shared" ca="1" si="33"/>
        <v>1</v>
      </c>
      <c r="Q232" s="79" t="b">
        <f>TRUE()</f>
        <v>1</v>
      </c>
      <c r="R232" s="79" t="b">
        <f t="shared" si="34"/>
        <v>1</v>
      </c>
      <c r="S232" s="79" t="b">
        <f t="shared" si="35"/>
        <v>1</v>
      </c>
      <c r="T232" s="79" t="b">
        <f t="shared" si="36"/>
        <v>1</v>
      </c>
      <c r="U232" s="79" t="b">
        <f t="shared" si="37"/>
        <v>1</v>
      </c>
      <c r="V232" s="79" t="b">
        <f t="shared" si="38"/>
        <v>1</v>
      </c>
      <c r="W232" s="81"/>
      <c r="X232" s="79" t="b">
        <f t="shared" ca="1" si="39"/>
        <v>1</v>
      </c>
    </row>
    <row r="233" spans="2:24" s="80" customFormat="1" ht="15" x14ac:dyDescent="0.25">
      <c r="B233" s="79" t="s">
        <v>162</v>
      </c>
      <c r="C233" s="79" t="s">
        <v>684</v>
      </c>
      <c r="D233" s="79" t="s">
        <v>685</v>
      </c>
      <c r="E233" s="79" t="s">
        <v>77</v>
      </c>
      <c r="F233" s="79">
        <v>4</v>
      </c>
      <c r="G233" s="79">
        <v>827.23</v>
      </c>
      <c r="H233" s="79">
        <v>96.73</v>
      </c>
      <c r="I233" s="79">
        <v>0</v>
      </c>
      <c r="J233" s="79">
        <v>0</v>
      </c>
      <c r="M233" s="79" t="b">
        <f t="shared" si="30"/>
        <v>0</v>
      </c>
      <c r="N233" s="79" t="b">
        <f t="shared" ca="1" si="31"/>
        <v>0</v>
      </c>
      <c r="O233" s="79" t="b">
        <f t="shared" si="32"/>
        <v>1</v>
      </c>
      <c r="P233" s="79" t="b">
        <f t="shared" ca="1" si="33"/>
        <v>1</v>
      </c>
      <c r="Q233" s="79" t="b">
        <f>TRUE()</f>
        <v>1</v>
      </c>
      <c r="R233" s="79" t="b">
        <f t="shared" si="34"/>
        <v>1</v>
      </c>
      <c r="S233" s="79" t="b">
        <f t="shared" si="35"/>
        <v>1</v>
      </c>
      <c r="T233" s="79" t="b">
        <f t="shared" si="36"/>
        <v>1</v>
      </c>
      <c r="U233" s="79" t="b">
        <f t="shared" si="37"/>
        <v>1</v>
      </c>
      <c r="V233" s="79" t="b">
        <f t="shared" si="38"/>
        <v>1</v>
      </c>
      <c r="W233" s="81"/>
      <c r="X233" s="79" t="b">
        <f t="shared" ca="1" si="39"/>
        <v>1</v>
      </c>
    </row>
    <row r="234" spans="2:24" ht="15" x14ac:dyDescent="0.25">
      <c r="B234" t="s">
        <v>686</v>
      </c>
      <c r="C234" t="s">
        <v>687</v>
      </c>
      <c r="D234" t="s">
        <v>688</v>
      </c>
      <c r="E234" t="s">
        <v>77</v>
      </c>
      <c r="F234">
        <v>4</v>
      </c>
      <c r="G234">
        <v>1785.16</v>
      </c>
      <c r="H234">
        <v>110.41</v>
      </c>
      <c r="I234">
        <v>0</v>
      </c>
      <c r="J234">
        <v>0</v>
      </c>
      <c r="M234" t="b">
        <f t="shared" si="30"/>
        <v>0</v>
      </c>
      <c r="N234" t="b">
        <f t="shared" ca="1" si="31"/>
        <v>0</v>
      </c>
      <c r="O234" t="b">
        <f t="shared" si="32"/>
        <v>1</v>
      </c>
      <c r="P234" t="b">
        <f t="shared" ca="1" si="33"/>
        <v>1</v>
      </c>
      <c r="Q234" t="b">
        <f>TRUE()</f>
        <v>1</v>
      </c>
      <c r="R234" t="b">
        <f t="shared" si="34"/>
        <v>1</v>
      </c>
      <c r="S234" t="b">
        <f t="shared" si="35"/>
        <v>1</v>
      </c>
      <c r="T234" t="b">
        <f t="shared" si="36"/>
        <v>1</v>
      </c>
      <c r="U234" t="b">
        <f t="shared" si="37"/>
        <v>1</v>
      </c>
      <c r="V234" t="b">
        <f t="shared" si="38"/>
        <v>1</v>
      </c>
      <c r="X234" t="b">
        <f t="shared" ca="1" si="39"/>
        <v>1</v>
      </c>
    </row>
  </sheetData>
  <protectedRanges>
    <protectedRange sqref="C8 C10 C12 C14 C16" name="Range1"/>
  </protectedRanges>
  <mergeCells count="6">
    <mergeCell ref="B21:F21"/>
    <mergeCell ref="B6:D6"/>
    <mergeCell ref="D3:J3"/>
    <mergeCell ref="B3:C3"/>
    <mergeCell ref="C10:D10"/>
    <mergeCell ref="C12:F12"/>
  </mergeCells>
  <conditionalFormatting sqref="C8 C12 C14">
    <cfRule type="notContainsBlanks" dxfId="4" priority="13">
      <formula>LEN(TRIM(C8))&gt;0</formula>
    </cfRule>
  </conditionalFormatting>
  <conditionalFormatting sqref="C10">
    <cfRule type="notContainsBlanks" dxfId="3" priority="8">
      <formula>LEN(TRIM(C10))&gt;0</formula>
    </cfRule>
  </conditionalFormatting>
  <conditionalFormatting sqref="C16">
    <cfRule type="notContainsBlanks" dxfId="2" priority="12">
      <formula>LEN(TRIM(C16))&gt;0</formula>
    </cfRule>
  </conditionalFormatting>
  <conditionalFormatting sqref="K25:K3025">
    <cfRule type="expression" dxfId="1" priority="6">
      <formula>NOT(X25)</formula>
    </cfRule>
    <cfRule type="expression" dxfId="0" priority="15">
      <formula>AND(X25, NOT(M25))</formula>
    </cfRule>
  </conditionalFormatting>
  <dataValidations count="11">
    <dataValidation type="list" allowBlank="1" showErrorMessage="1" errorTitle="Invalid Entry" error="Year must be selected from the available options._x000a__x000a_Please check your entry for Year and enter a valid value." sqref="C14" xr:uid="{EE81FE8C-DE44-4249-99E1-F1C032EDD59B}">
      <formula1>Lookup_Years</formula1>
    </dataValidation>
    <dataValidation type="list" allowBlank="1" showErrorMessage="1" errorTitle="Invalid Entry" error="Year must be selected from the available options._x000a__x000a_Please check your entry for Period and enter a valid value." sqref="C16" xr:uid="{E94BC42B-6F8B-463F-8F57-8F5C879AAE4B}">
      <formula1>Lookup_Periods</formula1>
    </dataValidation>
    <dataValidation type="custom" allowBlank="1" showErrorMessage="1" errorTitle="Invalid Entry" error="The TIN you have entered does not match the rules for a valid TIN._x000a_Please enter a valid TIN, e.g. 123456" sqref="C8" xr:uid="{AEEB431F-3A60-499D-B7B0-3E94EFB1C019}">
      <formula1>AND(LEN(SUBSTITUTE(C8,"-",""))=6,_xlfn.NUMBERVALUE(SUBSTITUTE(C8,"-",""))&gt;=1,_xlfn.NUMBERVALUE(SUBSTITUTE(C8,"-",""))&lt;=999999)</formula1>
    </dataValidation>
    <dataValidation type="custom" allowBlank="1" showErrorMessage="1" errorTitle="Invalid Entry" error="The TIN you have entered does not match the rules for a valid TIN._x000a_Please enter a valid TIN, e.g. 123456" sqref="B25:B3025" xr:uid="{C3939204-DDBE-46D5-AC92-FF2AD9B0B8C2}">
      <formula1>AND(LEN(SUBSTITUTE(B25,"-",""))=6,_xlfn.NUMBERVALUE(SUBSTITUTE(B25,"-",""))&gt;=1,_xlfn.NUMBERVALUE(SUBSTITUTE(B25,"-",""))&lt;=9999999)</formula1>
    </dataValidation>
    <dataValidation allowBlank="1" errorTitle="Invalid Entry" error="Full Time Employee? must be specified._x000a__x000a_Please select an option for Full Time Employee? from the dropdown list." sqref="D25:E3025" xr:uid="{20F13E18-53D0-4D27-9142-7F2116BFE24D}"/>
    <dataValidation type="whole" allowBlank="1" showErrorMessage="1" errorTitle="Invalid Entry" error="Number of Weeks Employed must be between 1 and 5" sqref="F25:F3025" xr:uid="{D4602E62-0A22-45F4-B704-64CD1BB430B9}">
      <formula1>1</formula1>
      <formula2>5</formula2>
    </dataValidation>
    <dataValidation type="custom" operator="greaterThanOrEqual" allowBlank="1" showErrorMessage="1" errorTitle="Invalid Entry" error="Taxable Benefits cannot be a negative number or text. The sum of Taxable Benefits must also be smaller than 76,861,433,640,456._x000a__x000a_Please check your entry for Taxable Benefits and enter a valid amount, e.g. $1,000.00" sqref="H25:H3025" xr:uid="{830B8207-309E-4DEE-82DD-532CF6DCA16B}">
      <formula1>AND(ISNUMBER(H25), H25 &gt;= 0, SUM($H$25:$H$3025) &lt;= 76861433640456)</formula1>
    </dataValidation>
    <dataValidation type="custom" operator="greaterThanOrEqual" allowBlank="1" showErrorMessage="1" errorTitle="Invalid Entry" error="Commissions cannot be a negative number or text. The sum of Commissions must also be smaller than 76,861,433,640,456._x000a__x000a_Please check your entry for Commissions and enter a valid amount, e.g. $10,000.00" sqref="I25:I3025" xr:uid="{1D0A8744-B980-4245-B384-CC4385870F06}">
      <formula1>AND(ISNUMBER(I25), I25 &gt;= 0, SUM($I$25:$I$3025) &lt;= 76861433640456)</formula1>
    </dataValidation>
    <dataValidation allowBlank="1" sqref="C25:C3025" xr:uid="{86852127-0ED7-4032-8218-04DC0D69A932}"/>
    <dataValidation type="custom" operator="greaterThanOrEqual" allowBlank="1" showErrorMessage="1" errorTitle="Invalid Entry" error="Total Emoluments cannot be a negative number or text. The sum of Total Emoluments must also be smaller than 76,861,433,640,456._x000a__x000a_Please check your entry for Total Emoluments and enter a valid amount, e.g. $55,000.00" sqref="G25:G3025" xr:uid="{880F1883-2E9F-43C3-BDC1-B5753C304D3E}">
      <formula1>AND(ISNUMBER(G25), G25 &gt;= 0, SUM($G$25:$G$3025) &lt;= 76861433640456)</formula1>
    </dataValidation>
    <dataValidation type="custom" operator="greaterThanOrEqual" allowBlank="1" showInputMessage="1" showErrorMessage="1" errorTitle="Invalid Entry" error="Tax Withheld cannot be a negative number or text. The sum of Tax Withheld must also be smaller than 76,861,433,640,456._x000a__x000a_Please check your entry for Tax Withheld and enter a valid amount, e.g. $10,000.00" sqref="J25:J3025" xr:uid="{B753B753-0784-4755-A59A-87072BCAEF7E}">
      <formula1>AND(ISNUMBER(J25), J25 &gt;= 0, SUM($J$25:$J$3025) &lt;= 76861433640456)</formula1>
    </dataValidation>
  </dataValidations>
  <pageMargins left="0.7" right="0.7" top="0.75" bottom="0.75" header="0.3" footer="0.3"/>
  <pageSetup paperSize="9" orientation="portrait" r:id="rId1"/>
  <ignoredErrors>
    <ignoredError sqref="H22" formula="1"/>
  </ignoredError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2019A-0B2E-4003-9BFA-36F2F8685363}">
  <sheetPr codeName="Sheet2"/>
  <dimension ref="A1:I20"/>
  <sheetViews>
    <sheetView workbookViewId="0">
      <selection activeCell="A7" sqref="A7"/>
    </sheetView>
  </sheetViews>
  <sheetFormatPr defaultRowHeight="15" x14ac:dyDescent="0.25"/>
  <cols>
    <col min="1" max="2" width="20.7109375" customWidth="1"/>
    <col min="3" max="3" width="22.42578125" bestFit="1" customWidth="1"/>
    <col min="4" max="4" width="24.85546875" bestFit="1" customWidth="1"/>
    <col min="5" max="7" width="20.7109375" customWidth="1"/>
    <col min="8" max="8" width="22.85546875" bestFit="1" customWidth="1"/>
    <col min="9" max="10" width="20.7109375" customWidth="1"/>
  </cols>
  <sheetData>
    <row r="1" spans="1:9" x14ac:dyDescent="0.25">
      <c r="A1" s="2" t="s">
        <v>3</v>
      </c>
      <c r="B1" s="2"/>
      <c r="C1" s="78" t="s">
        <v>4</v>
      </c>
      <c r="D1" s="78"/>
      <c r="E1" s="2" t="s">
        <v>37</v>
      </c>
      <c r="F1" s="3"/>
      <c r="G1" s="2" t="s">
        <v>20</v>
      </c>
    </row>
    <row r="2" spans="1:9" x14ac:dyDescent="0.25">
      <c r="A2">
        <v>2017</v>
      </c>
      <c r="B2" s="3"/>
      <c r="C2" s="3" t="s">
        <v>5</v>
      </c>
      <c r="D2" t="s">
        <v>26</v>
      </c>
      <c r="E2" s="3" t="s">
        <v>38</v>
      </c>
      <c r="F2" s="3"/>
      <c r="G2" s="3">
        <v>1</v>
      </c>
    </row>
    <row r="3" spans="1:9" x14ac:dyDescent="0.25">
      <c r="A3">
        <v>2018</v>
      </c>
      <c r="B3" s="3"/>
      <c r="C3" s="3" t="s">
        <v>6</v>
      </c>
      <c r="D3" t="s">
        <v>27</v>
      </c>
      <c r="E3" s="3" t="s">
        <v>39</v>
      </c>
      <c r="F3" s="3"/>
      <c r="G3" s="3" t="s">
        <v>59</v>
      </c>
    </row>
    <row r="4" spans="1:9" x14ac:dyDescent="0.25">
      <c r="A4" s="3">
        <v>2019</v>
      </c>
      <c r="B4" s="3"/>
      <c r="C4" s="3" t="s">
        <v>7</v>
      </c>
      <c r="D4" t="s">
        <v>28</v>
      </c>
      <c r="E4" s="3"/>
      <c r="F4" s="3"/>
      <c r="G4" s="3"/>
    </row>
    <row r="5" spans="1:9" x14ac:dyDescent="0.25">
      <c r="A5" s="3">
        <v>2020</v>
      </c>
      <c r="B5" s="3"/>
      <c r="C5" s="3" t="s">
        <v>8</v>
      </c>
      <c r="D5" t="s">
        <v>29</v>
      </c>
      <c r="E5" s="3"/>
      <c r="F5" s="3"/>
      <c r="G5" s="3"/>
    </row>
    <row r="6" spans="1:9" x14ac:dyDescent="0.25">
      <c r="A6" s="3">
        <v>2021</v>
      </c>
      <c r="B6" s="3"/>
      <c r="C6" s="3" t="s">
        <v>9</v>
      </c>
      <c r="D6" s="3" t="s">
        <v>9</v>
      </c>
      <c r="E6" s="3"/>
      <c r="F6" s="3"/>
      <c r="G6" s="3"/>
    </row>
    <row r="7" spans="1:9" x14ac:dyDescent="0.25">
      <c r="A7" s="3">
        <v>2022</v>
      </c>
      <c r="B7" s="3"/>
      <c r="C7" s="3" t="s">
        <v>10</v>
      </c>
      <c r="D7" s="3" t="s">
        <v>30</v>
      </c>
      <c r="E7" s="3"/>
      <c r="F7" s="3"/>
      <c r="G7" s="3"/>
    </row>
    <row r="8" spans="1:9" x14ac:dyDescent="0.25">
      <c r="A8" s="3">
        <v>2023</v>
      </c>
      <c r="B8" s="3"/>
      <c r="C8" s="3" t="s">
        <v>11</v>
      </c>
      <c r="D8" s="3" t="s">
        <v>31</v>
      </c>
      <c r="E8" s="3"/>
      <c r="F8" s="3"/>
      <c r="G8" s="3"/>
    </row>
    <row r="9" spans="1:9" x14ac:dyDescent="0.25">
      <c r="A9" s="3"/>
      <c r="B9" s="3"/>
      <c r="C9" s="3" t="s">
        <v>12</v>
      </c>
      <c r="D9" s="3" t="s">
        <v>32</v>
      </c>
      <c r="E9" s="3"/>
      <c r="F9" s="3"/>
      <c r="G9" s="3"/>
    </row>
    <row r="10" spans="1:9" x14ac:dyDescent="0.25">
      <c r="A10" s="3"/>
      <c r="B10" s="3"/>
      <c r="C10" s="3" t="s">
        <v>13</v>
      </c>
      <c r="D10" s="3" t="s">
        <v>33</v>
      </c>
      <c r="E10" s="3"/>
      <c r="F10" s="3"/>
      <c r="G10" s="3"/>
    </row>
    <row r="11" spans="1:9" x14ac:dyDescent="0.25">
      <c r="A11" s="3"/>
      <c r="B11" s="3"/>
      <c r="C11" s="3" t="s">
        <v>14</v>
      </c>
      <c r="D11" s="3" t="s">
        <v>34</v>
      </c>
      <c r="E11" s="3"/>
      <c r="F11" s="3"/>
      <c r="G11" s="3"/>
    </row>
    <row r="12" spans="1:9" x14ac:dyDescent="0.25">
      <c r="A12" s="3"/>
      <c r="B12" s="3"/>
      <c r="C12" s="3" t="s">
        <v>15</v>
      </c>
      <c r="D12" s="3" t="s">
        <v>35</v>
      </c>
      <c r="E12" s="3"/>
      <c r="F12" s="3"/>
      <c r="G12" s="3"/>
    </row>
    <row r="13" spans="1:9" x14ac:dyDescent="0.25">
      <c r="A13" s="3"/>
      <c r="B13" s="3"/>
      <c r="C13" s="3" t="s">
        <v>16</v>
      </c>
      <c r="D13" s="3" t="s">
        <v>36</v>
      </c>
      <c r="E13" s="3"/>
      <c r="F13" s="1"/>
      <c r="G13" s="3"/>
    </row>
    <row r="14" spans="1:9" x14ac:dyDescent="0.25">
      <c r="A14" s="3"/>
      <c r="B14" s="3"/>
      <c r="C14" s="3" t="s">
        <v>40</v>
      </c>
      <c r="D14" s="3" t="s">
        <v>41</v>
      </c>
      <c r="E14" s="3"/>
      <c r="G14" s="3"/>
    </row>
    <row r="15" spans="1:9" x14ac:dyDescent="0.25">
      <c r="A15" s="2" t="s">
        <v>42</v>
      </c>
      <c r="B15" s="3"/>
      <c r="C15" s="3"/>
      <c r="D15" s="3"/>
      <c r="E15" s="3"/>
      <c r="F15" s="3"/>
      <c r="G15" s="3"/>
    </row>
    <row r="16" spans="1:9" x14ac:dyDescent="0.25">
      <c r="A16" s="2" t="str">
        <f>'Employee Details'!$B$24</f>
        <v>TIN</v>
      </c>
      <c r="B16" s="2" t="str">
        <f>'Employee Details'!$C$24</f>
        <v>Taxpayer Name</v>
      </c>
      <c r="C16" s="2" t="str">
        <f>'Employee Details'!$D$24</f>
        <v>Social Security Number</v>
      </c>
      <c r="D16" s="2" t="str">
        <f>'Employee Details'!$E$24</f>
        <v>Passport</v>
      </c>
      <c r="E16" s="2" t="str">
        <f>'Employee Details'!$F$24</f>
        <v>Number of Weeks Employed</v>
      </c>
      <c r="F16" s="2" t="str">
        <f>'Employee Details'!$G$24</f>
        <v>Total Emoluments</v>
      </c>
      <c r="G16" s="2" t="str">
        <f>'Employee Details'!$H$24</f>
        <v>Taxable Benefits</v>
      </c>
      <c r="H16" s="2" t="str">
        <f>'Employee Details'!$I$24</f>
        <v>Commissions</v>
      </c>
      <c r="I16" s="2" t="str">
        <f>'Employee Details'!$J$24</f>
        <v>Tax Withheld</v>
      </c>
    </row>
    <row r="17" spans="1:9" x14ac:dyDescent="0.25">
      <c r="A17" s="3" t="s">
        <v>57</v>
      </c>
      <c r="B17" s="3" t="s">
        <v>58</v>
      </c>
      <c r="C17" s="3" t="s">
        <v>62</v>
      </c>
      <c r="D17" s="3" t="s">
        <v>69</v>
      </c>
      <c r="E17" s="3" t="s">
        <v>61</v>
      </c>
      <c r="F17" s="3" t="s">
        <v>48</v>
      </c>
      <c r="G17" s="3" t="s">
        <v>49</v>
      </c>
      <c r="H17" s="3" t="s">
        <v>50</v>
      </c>
      <c r="I17" s="3" t="s">
        <v>51</v>
      </c>
    </row>
    <row r="18" spans="1:9" x14ac:dyDescent="0.25">
      <c r="A18" s="3"/>
      <c r="B18" s="3"/>
      <c r="C18" s="3"/>
      <c r="D18" s="3"/>
      <c r="E18" s="3"/>
      <c r="G18" s="3"/>
    </row>
    <row r="19" spans="1:9" x14ac:dyDescent="0.25">
      <c r="A19" s="1" t="s">
        <v>66</v>
      </c>
    </row>
    <row r="20" spans="1:9" x14ac:dyDescent="0.25">
      <c r="A20" t="b">
        <v>1</v>
      </c>
    </row>
  </sheetData>
  <mergeCells count="1">
    <mergeCell ref="C1:D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13</vt:i4>
      </vt:variant>
    </vt:vector>
  </HeadingPairs>
  <TitlesOfParts>
    <vt:vector size="14" baseType="lpstr">
      <vt:lpstr>Employee Details</vt:lpstr>
      <vt:lpstr>Config_AcceptTinOrName</vt:lpstr>
      <vt:lpstr>Config_TaxTypeCode</vt:lpstr>
      <vt:lpstr>Config_Template_Revision</vt:lpstr>
      <vt:lpstr>Lookup_Periods</vt:lpstr>
      <vt:lpstr>Lookup_Periods_Codes</vt:lpstr>
      <vt:lpstr>Lookup_Years</vt:lpstr>
      <vt:lpstr>Lookup_YesNo</vt:lpstr>
      <vt:lpstr>PAYE_Schedule_Headers</vt:lpstr>
      <vt:lpstr>Submission_Period</vt:lpstr>
      <vt:lpstr>Submission_Submitter_Address</vt:lpstr>
      <vt:lpstr>Submission_Submitter_Name</vt:lpstr>
      <vt:lpstr>Submission_Submitter_TIN</vt:lpstr>
      <vt:lpstr>Submission_Year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Roberts</dc:creator>
  <cp:lastModifiedBy>Soraida Polanco</cp:lastModifiedBy>
  <cp:lastPrinted>2021-03-04T04:22:51Z</cp:lastPrinted>
  <dcterms:created xsi:type="dcterms:W3CDTF">2020-06-16T05:47:22Z</dcterms:created>
  <dcterms:modified xsi:type="dcterms:W3CDTF">2026-10-07T16:37:25Z</dcterms:modified>
</cp:coreProperties>
</file>